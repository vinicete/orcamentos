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embro" sheetId="1" r:id="rId5"/>
    <sheet state="visible" name="Agosto" sheetId="2" r:id="rId6"/>
    <sheet state="visible" name="Julho" sheetId="3" r:id="rId7"/>
    <sheet state="visible" name="Junho" sheetId="4" r:id="rId8"/>
    <sheet state="visible" name="Maio" sheetId="5" r:id="rId9"/>
    <sheet state="visible" name="Abril" sheetId="6" r:id="rId10"/>
    <sheet state="visible" name="Março" sheetId="7" r:id="rId11"/>
    <sheet state="visible" name="Fevereiro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">
      <text>
        <t xml:space="preserve">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">
      <text>
        <t xml:space="preserve">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">
      <text>
        <t xml:space="preserve">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">
      <text>
        <t xml:space="preserve">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">
      <text>
        <t xml:space="preserve">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">
      <text>
        <t xml:space="preserve">
</t>
      </text>
    </comment>
  </commentList>
</comments>
</file>

<file path=xl/sharedStrings.xml><?xml version="1.0" encoding="utf-8"?>
<sst xmlns="http://schemas.openxmlformats.org/spreadsheetml/2006/main" count="532" uniqueCount="254">
  <si>
    <t>Última Edição:</t>
  </si>
  <si>
    <t>Gastos Fixos</t>
  </si>
  <si>
    <t>Gastos Adicionais</t>
  </si>
  <si>
    <t>Adicionar Gasto Adicional</t>
  </si>
  <si>
    <t>digita aqui embaixo burro</t>
  </si>
  <si>
    <t>Adicionar Gasto do Cartão</t>
  </si>
  <si>
    <t>Total</t>
  </si>
  <si>
    <t>Nome:</t>
  </si>
  <si>
    <t>Orçado</t>
  </si>
  <si>
    <t>Realizado</t>
  </si>
  <si>
    <t>Descrição</t>
  </si>
  <si>
    <t>Valor:</t>
  </si>
  <si>
    <t>Aluguel</t>
  </si>
  <si>
    <t>uber 01/08</t>
  </si>
  <si>
    <t>Cinema isa</t>
  </si>
  <si>
    <t>uber isa</t>
  </si>
  <si>
    <t>Energia</t>
  </si>
  <si>
    <t>compras livia</t>
  </si>
  <si>
    <t>Vinho e coisas</t>
  </si>
  <si>
    <t>onibus isa</t>
  </si>
  <si>
    <t>Internet</t>
  </si>
  <si>
    <t>odisseia file</t>
  </si>
  <si>
    <t>reembolso airbnb</t>
  </si>
  <si>
    <t>Pp x Pv</t>
  </si>
  <si>
    <t>Pizza (06/06)</t>
  </si>
  <si>
    <t>farmacia</t>
  </si>
  <si>
    <t>yakisushi</t>
  </si>
  <si>
    <t>Uber isa</t>
  </si>
  <si>
    <t>psico</t>
  </si>
  <si>
    <t>Recorrências</t>
  </si>
  <si>
    <t xml:space="preserve">uber isa </t>
  </si>
  <si>
    <t>bebidas</t>
  </si>
  <si>
    <t>Comida</t>
  </si>
  <si>
    <t>Gastos do Cartão</t>
  </si>
  <si>
    <t>Ketchup</t>
  </si>
  <si>
    <t>Lanche (07/06)</t>
  </si>
  <si>
    <t>16.67</t>
  </si>
  <si>
    <t>conserto cafeteira</t>
  </si>
  <si>
    <t>uber</t>
  </si>
  <si>
    <t>Ze Tesoura</t>
  </si>
  <si>
    <t>pix eric</t>
  </si>
  <si>
    <t>refri (08/07)</t>
  </si>
  <si>
    <t>chocolat(09/06)</t>
  </si>
  <si>
    <t>Facul</t>
  </si>
  <si>
    <t>uber 8/8</t>
  </si>
  <si>
    <t>Acad</t>
  </si>
  <si>
    <t>camisa aniversario helo</t>
  </si>
  <si>
    <t>cortei em pp</t>
  </si>
  <si>
    <t>Guardar</t>
  </si>
  <si>
    <t>Uber (violao)</t>
  </si>
  <si>
    <t>mercado</t>
  </si>
  <si>
    <t>Internet 5g</t>
  </si>
  <si>
    <t>produtinhos mercado livre</t>
  </si>
  <si>
    <t>Café</t>
  </si>
  <si>
    <t xml:space="preserve">Habibs </t>
  </si>
  <si>
    <t>pacoca</t>
  </si>
  <si>
    <t>dermato (2/2)</t>
  </si>
  <si>
    <t>Reserva</t>
  </si>
  <si>
    <t>revoart</t>
  </si>
  <si>
    <t>tentei guardar 200 mas n deu</t>
  </si>
  <si>
    <t>Dutasterida (3/3)</t>
  </si>
  <si>
    <t>Doce limao isa</t>
  </si>
  <si>
    <t>Tropicadelia (4/6)</t>
  </si>
  <si>
    <t>Fatura mês passado</t>
  </si>
  <si>
    <t>uber revoart</t>
  </si>
  <si>
    <t>Cueca(3/3)</t>
  </si>
  <si>
    <t>nao tem</t>
  </si>
  <si>
    <t>Dutasterida (2/3)</t>
  </si>
  <si>
    <t>Bancar a mãe</t>
  </si>
  <si>
    <t>melhor (08/07)</t>
  </si>
  <si>
    <t xml:space="preserve">marmita pos revo </t>
  </si>
  <si>
    <t>Tropicadelia (3/6)</t>
  </si>
  <si>
    <t>manter oq gastei mes passado</t>
  </si>
  <si>
    <t>kaspersky (1/3)</t>
  </si>
  <si>
    <t>melhor</t>
  </si>
  <si>
    <t>bombom</t>
  </si>
  <si>
    <t>Cueca(2/3)</t>
  </si>
  <si>
    <t>acai mae</t>
  </si>
  <si>
    <t>Tropicadelia (2/6)</t>
  </si>
  <si>
    <t>ifood club</t>
  </si>
  <si>
    <t>compensar mes anterior, tentei guardar 731 mas n deu</t>
  </si>
  <si>
    <t>uber (11/06)</t>
  </si>
  <si>
    <t>dutasterida (1/3)</t>
  </si>
  <si>
    <t>Cueca(1/3)</t>
  </si>
  <si>
    <t>mercado 16/8</t>
  </si>
  <si>
    <t xml:space="preserve">google one </t>
  </si>
  <si>
    <t xml:space="preserve"> uber (08/07)</t>
  </si>
  <si>
    <t>passagem onibus mart</t>
  </si>
  <si>
    <t>Remedio</t>
  </si>
  <si>
    <t>Violão (2/2)</t>
  </si>
  <si>
    <t>moletom careca</t>
  </si>
  <si>
    <t xml:space="preserve">melhor </t>
  </si>
  <si>
    <t>Americanas cinema</t>
  </si>
  <si>
    <t>remedios brinco</t>
  </si>
  <si>
    <t>Comidas festa barraca</t>
  </si>
  <si>
    <t>uber 21/8</t>
  </si>
  <si>
    <t>Clube iFood</t>
  </si>
  <si>
    <t>cerveja</t>
  </si>
  <si>
    <t>lanche com a isa (4/07)</t>
  </si>
  <si>
    <t>carrefour</t>
  </si>
  <si>
    <t>quinta aula</t>
  </si>
  <si>
    <t>remedio</t>
  </si>
  <si>
    <t>geminho</t>
  </si>
  <si>
    <t>camisa</t>
  </si>
  <si>
    <t>churrasco mart</t>
  </si>
  <si>
    <t>presente mae</t>
  </si>
  <si>
    <t>tacobell</t>
  </si>
  <si>
    <t xml:space="preserve">date espetinho </t>
  </si>
  <si>
    <t>caio gay</t>
  </si>
  <si>
    <t>uber (14/06)</t>
  </si>
  <si>
    <t xml:space="preserve">cacau show </t>
  </si>
  <si>
    <t>americanas</t>
  </si>
  <si>
    <t>perfume</t>
  </si>
  <si>
    <t>ifood 23/08</t>
  </si>
  <si>
    <t>melhor (11/07)</t>
  </si>
  <si>
    <t>Violão (1/2)</t>
  </si>
  <si>
    <t xml:space="preserve">melhor pós eliminação brasil </t>
  </si>
  <si>
    <t>new (12/07)</t>
  </si>
  <si>
    <t>comida de botico</t>
  </si>
  <si>
    <t>doce isa</t>
  </si>
  <si>
    <t>melhor (22/06)</t>
  </si>
  <si>
    <t>revoart dsilv (1/2)</t>
  </si>
  <si>
    <t>ifood yakimeshi</t>
  </si>
  <si>
    <t>cinema (17/06)</t>
  </si>
  <si>
    <t>overcooked</t>
  </si>
  <si>
    <t>uber (17/06)</t>
  </si>
  <si>
    <t>tesoura</t>
  </si>
  <si>
    <t>marcara dormir (1/2)</t>
  </si>
  <si>
    <t>uber (18/06)</t>
  </si>
  <si>
    <t>uber 24/08</t>
  </si>
  <si>
    <t>uber isa (13/07)</t>
  </si>
  <si>
    <t>tank g (1/3)</t>
  </si>
  <si>
    <t>brinco</t>
  </si>
  <si>
    <t>ulian</t>
  </si>
  <si>
    <t>food to save</t>
  </si>
  <si>
    <t>uber 25/08</t>
  </si>
  <si>
    <t>uber (20/06)</t>
  </si>
  <si>
    <t>suporte guita</t>
  </si>
  <si>
    <t>divida livia</t>
  </si>
  <si>
    <t>uber 26/08</t>
  </si>
  <si>
    <t>beco bar</t>
  </si>
  <si>
    <t>ifood (21/06)</t>
  </si>
  <si>
    <t>trocar pirce</t>
  </si>
  <si>
    <t>ifood 28/08</t>
  </si>
  <si>
    <t>uber (16/07)</t>
  </si>
  <si>
    <t>refri e detergente</t>
  </si>
  <si>
    <t>coxinha isa</t>
  </si>
  <si>
    <t>pinheirao</t>
  </si>
  <si>
    <t>uber 29/08</t>
  </si>
  <si>
    <t>uber (17/07)</t>
  </si>
  <si>
    <t>uber 30/08</t>
  </si>
  <si>
    <t>peita brasil</t>
  </si>
  <si>
    <t xml:space="preserve">brinco dnv </t>
  </si>
  <si>
    <t>cabo guita</t>
  </si>
  <si>
    <t>topoki e comidas</t>
  </si>
  <si>
    <t>panelinha de oro</t>
  </si>
  <si>
    <t>dermato (1/2)</t>
  </si>
  <si>
    <t>new</t>
  </si>
  <si>
    <t>uber (18/07)</t>
  </si>
  <si>
    <t>luthier</t>
  </si>
  <si>
    <t>encosta</t>
  </si>
  <si>
    <t>ifood (19/07)</t>
  </si>
  <si>
    <t>Minoxidil</t>
  </si>
  <si>
    <t>uber (21/07)</t>
  </si>
  <si>
    <t>igor fernando (nao lembro oq) dia 22/07</t>
  </si>
  <si>
    <t>uber 23/09</t>
  </si>
  <si>
    <t>ifood 23/09</t>
  </si>
  <si>
    <t>uber 24/09</t>
  </si>
  <si>
    <t>conal</t>
  </si>
  <si>
    <t>pacoca e halls</t>
  </si>
  <si>
    <t>uber 26/07</t>
  </si>
  <si>
    <t>sorvetin com os manos</t>
  </si>
  <si>
    <t>mcdonalds</t>
  </si>
  <si>
    <t>uber 27/07</t>
  </si>
  <si>
    <t>uber isa 27/07</t>
  </si>
  <si>
    <t>ifood 28/07</t>
  </si>
  <si>
    <t>uber 30/07</t>
  </si>
  <si>
    <t>pao de queijo</t>
  </si>
  <si>
    <t>camisas</t>
  </si>
  <si>
    <t>ifood 30/07</t>
  </si>
  <si>
    <t xml:space="preserve">americanas </t>
  </si>
  <si>
    <t>uber 31/07</t>
  </si>
  <si>
    <t>salgadinho confra</t>
  </si>
  <si>
    <t>melhor 31/07</t>
  </si>
  <si>
    <t>Gastos</t>
  </si>
  <si>
    <t>Fatura</t>
  </si>
  <si>
    <t>Arara livia</t>
  </si>
  <si>
    <t>Rock festival</t>
  </si>
  <si>
    <t>Emo hard</t>
  </si>
  <si>
    <t>Gasosa Maringa Ida</t>
  </si>
  <si>
    <t>Ingresso parque maringa</t>
  </si>
  <si>
    <t>Numetalcore</t>
  </si>
  <si>
    <t>Uber ida show</t>
  </si>
  <si>
    <t>Seakalm</t>
  </si>
  <si>
    <t>obs: talvez ganho 300 da mae + 60 + 105 + um pouco de gasolina (50) acho do pai</t>
  </si>
  <si>
    <t>Churros isa</t>
  </si>
  <si>
    <t>Date sol</t>
  </si>
  <si>
    <t>Uber volta show</t>
  </si>
  <si>
    <t>Remedios</t>
  </si>
  <si>
    <t>Lanche tadeu</t>
  </si>
  <si>
    <t>Simone</t>
  </si>
  <si>
    <t>42 isa</t>
  </si>
  <si>
    <t xml:space="preserve">Pano de prato </t>
  </si>
  <si>
    <t>Cafe da manha isa</t>
  </si>
  <si>
    <t>Sol livia</t>
  </si>
  <si>
    <t>Dutasterida</t>
  </si>
  <si>
    <t>Lanche 12/04</t>
  </si>
  <si>
    <t>Booster isa</t>
  </si>
  <si>
    <t xml:space="preserve">Refri </t>
  </si>
  <si>
    <t>Gasosa volta maringa</t>
  </si>
  <si>
    <t>Começo do mês: 300</t>
  </si>
  <si>
    <t>Lanche 10/05 meu</t>
  </si>
  <si>
    <t>Lab (3/3)</t>
  </si>
  <si>
    <t xml:space="preserve">Lanche helo </t>
  </si>
  <si>
    <t>Ingresso Matue (3/3)</t>
  </si>
  <si>
    <t>compensar mes passado: 840 começo do mes</t>
  </si>
  <si>
    <t>Numetalcore ingresso</t>
  </si>
  <si>
    <t>Cacau show mae</t>
  </si>
  <si>
    <t xml:space="preserve">Adiantar fatura </t>
  </si>
  <si>
    <t>Bk</t>
  </si>
  <si>
    <t>Consulta</t>
  </si>
  <si>
    <t>Pedagio maringa</t>
  </si>
  <si>
    <t>Uber (14/05)</t>
  </si>
  <si>
    <t>Refri 10/05</t>
  </si>
  <si>
    <t>Zero18 1 mes</t>
  </si>
  <si>
    <t>Dutasterida (1/3)</t>
  </si>
  <si>
    <t>Remédio</t>
  </si>
  <si>
    <t>Tropicadelia (1/6)</t>
  </si>
  <si>
    <t>Tadeu</t>
  </si>
  <si>
    <t>Bebida revoart</t>
  </si>
  <si>
    <t>Onibus isa</t>
  </si>
  <si>
    <t>Melhor e tadeu</t>
  </si>
  <si>
    <t>Hamburguer rikafe</t>
  </si>
  <si>
    <t>Hamburguer tadeu</t>
  </si>
  <si>
    <t>Presentes shopee</t>
  </si>
  <si>
    <t>Gastos Imprevisíveis</t>
  </si>
  <si>
    <t>Pinheirao</t>
  </si>
  <si>
    <t>ifood(23/05)</t>
  </si>
  <si>
    <t>Uber (23/05)</t>
  </si>
  <si>
    <t>Faatura total</t>
  </si>
  <si>
    <t>Refris numetal</t>
  </si>
  <si>
    <t xml:space="preserve">Roupa isabella </t>
  </si>
  <si>
    <t>Viver</t>
  </si>
  <si>
    <t>ifood(28/05)</t>
  </si>
  <si>
    <t>Toldo da mãe</t>
  </si>
  <si>
    <t>Uber (05/06)</t>
  </si>
  <si>
    <t>Cacau Show</t>
  </si>
  <si>
    <t>Aposta</t>
  </si>
  <si>
    <t>Whey</t>
  </si>
  <si>
    <t>Pizza Isa</t>
  </si>
  <si>
    <t>Adicionar Gasto Imprevisível</t>
  </si>
  <si>
    <t>Ingresso DZ6 Isa</t>
  </si>
  <si>
    <t>Bosta</t>
  </si>
  <si>
    <t>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</si>
</sst>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 hh:mm"/>
    <numFmt numFmtId="165" formatCode="[$R$ -416]#,##0.00"/>
    <numFmt numFmtId="166" formatCode="&quot;R$&quot; #,##0.00"/>
  </numFmts>
  <fonts count="13">
    <font>
      <sz val="10.0"/>
      <color rgb="FF000000"/>
      <name val="Arial"/>
      <scheme val="minor"/>
    </font>
    <font>
      <sz val="14.0"/>
      <color rgb="FF660000"/>
      <name val="Arial"/>
      <scheme val="minor"/>
    </font>
    <font>
      <color rgb="FF85200C"/>
      <name val="Arial"/>
      <scheme val="minor"/>
    </font>
    <font>
      <sz val="12.0"/>
      <color rgb="FFFFF2CC"/>
      <name val="Google Sans Text"/>
    </font>
    <font>
      <color theme="1"/>
      <name val="Google Sans Text"/>
    </font>
    <font>
      <color rgb="FFFFF2CC"/>
      <name val="Google Sans Text"/>
    </font>
    <font>
      <color rgb="FF1F1F1F"/>
      <name val="Google Sans Text"/>
    </font>
    <font>
      <color theme="1"/>
      <name val="Arial"/>
      <scheme val="minor"/>
    </font>
    <font>
      <color rgb="FF85200C"/>
      <name val="Google Sans Text"/>
    </font>
    <font>
      <sz val="12.0"/>
      <color theme="1"/>
      <name val="Arial"/>
      <scheme val="minor"/>
    </font>
    <font>
      <sz val="12.0"/>
      <color rgb="FFFFF2CC"/>
      <name val="Arial"/>
      <scheme val="minor"/>
    </font>
    <font>
      <color rgb="FF1F1F1F"/>
      <name val="&quot;Google Sans Text&quot;"/>
    </font>
    <font>
      <color rgb="FFFFF2CC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F0F4F9"/>
        <bgColor rgb="FFF0F4F9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4" fontId="3" numFmtId="0" xfId="0" applyAlignment="1" applyFill="1" applyFont="1">
      <alignment readingOrder="0"/>
    </xf>
    <xf borderId="0" fillId="4" fontId="4" numFmtId="0" xfId="0" applyFill="1" applyFont="1"/>
    <xf borderId="0" fillId="0" fontId="4" numFmtId="0" xfId="0" applyFont="1"/>
    <xf borderId="0" fillId="5" fontId="4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7" fontId="4" numFmtId="165" xfId="0" applyFill="1" applyFont="1" applyNumberFormat="1"/>
    <xf borderId="0" fillId="7" fontId="4" numFmtId="0" xfId="0" applyFill="1" applyFont="1"/>
    <xf borderId="0" fillId="7" fontId="4" numFmtId="166" xfId="0" applyFill="1" applyFont="1" applyNumberFormat="1"/>
    <xf borderId="0" fillId="8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8" fontId="4" numFmtId="0" xfId="0" applyFill="1" applyFont="1"/>
    <xf borderId="0" fillId="0" fontId="6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8" fontId="6" numFmtId="0" xfId="0" applyAlignment="1" applyFill="1" applyFont="1">
      <alignment readingOrder="0"/>
    </xf>
    <xf borderId="0" fillId="0" fontId="6" numFmtId="165" xfId="0" applyAlignment="1" applyFont="1" applyNumberFormat="1">
      <alignment readingOrder="0"/>
    </xf>
    <xf borderId="0" fillId="0" fontId="6" numFmtId="0" xfId="0" applyFont="1"/>
    <xf borderId="0" fillId="0" fontId="6" numFmtId="166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9" fontId="6" numFmtId="0" xfId="0" applyAlignment="1" applyFill="1" applyFont="1">
      <alignment readingOrder="0"/>
    </xf>
    <xf borderId="0" fillId="6" fontId="5" numFmtId="165" xfId="0" applyAlignment="1" applyFill="1" applyFont="1" applyNumberFormat="1">
      <alignment readingOrder="0"/>
    </xf>
    <xf borderId="0" fillId="9" fontId="4" numFmtId="0" xfId="0" applyAlignment="1" applyFill="1" applyFont="1">
      <alignment readingOrder="0"/>
    </xf>
    <xf borderId="0" fillId="8" fontId="4" numFmtId="165" xfId="0" applyFill="1" applyFont="1" applyNumberFormat="1"/>
    <xf borderId="0" fillId="8" fontId="4" numFmtId="165" xfId="0" applyAlignment="1" applyFill="1" applyFont="1" applyNumberFormat="1">
      <alignment readingOrder="0"/>
    </xf>
    <xf borderId="0" fillId="10" fontId="4" numFmtId="165" xfId="0" applyAlignment="1" applyFill="1" applyFont="1" applyNumberFormat="1">
      <alignment readingOrder="0"/>
    </xf>
    <xf borderId="0" fillId="0" fontId="4" numFmtId="165" xfId="0" applyFont="1" applyNumberFormat="1"/>
    <xf borderId="0" fillId="0" fontId="7" numFmtId="165" xfId="0" applyFont="1" applyNumberFormat="1"/>
    <xf borderId="0" fillId="10" fontId="4" numFmtId="0" xfId="0" applyAlignment="1" applyFill="1" applyFont="1">
      <alignment readingOrder="0"/>
    </xf>
    <xf borderId="0" fillId="11" fontId="4" numFmtId="165" xfId="0" applyAlignment="1" applyFill="1" applyFont="1" applyNumberFormat="1">
      <alignment readingOrder="0"/>
    </xf>
    <xf borderId="0" fillId="11" fontId="4" numFmtId="166" xfId="0" applyAlignment="1" applyFill="1" applyFont="1" applyNumberFormat="1">
      <alignment readingOrder="0"/>
    </xf>
    <xf borderId="0" fillId="8" fontId="8" numFmtId="0" xfId="0" applyAlignment="1" applyFill="1" applyFont="1">
      <alignment readingOrder="0"/>
    </xf>
    <xf borderId="0" fillId="0" fontId="7" numFmtId="166" xfId="0" applyAlignment="1" applyFont="1" applyNumberFormat="1">
      <alignment readingOrder="0"/>
    </xf>
    <xf borderId="0" fillId="11" fontId="4" numFmtId="0" xfId="0" applyFill="1" applyFont="1"/>
    <xf borderId="0" fillId="10" fontId="7" numFmtId="0" xfId="0" applyAlignment="1" applyFill="1" applyFont="1">
      <alignment readingOrder="0"/>
    </xf>
    <xf borderId="0" fillId="9" fontId="8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9" fontId="7" numFmtId="0" xfId="0" applyAlignment="1" applyFill="1" applyFont="1">
      <alignment readingOrder="0"/>
    </xf>
    <xf borderId="0" fillId="9" fontId="4" numFmtId="165" xfId="0" applyAlignment="1" applyFill="1" applyFont="1" applyNumberFormat="1">
      <alignment readingOrder="0"/>
    </xf>
    <xf borderId="0" fillId="5" fontId="7" numFmtId="0" xfId="0" applyAlignment="1" applyFill="1" applyFont="1">
      <alignment readingOrder="0"/>
    </xf>
    <xf borderId="0" fillId="11" fontId="4" numFmtId="0" xfId="0" applyAlignment="1" applyFill="1" applyFont="1">
      <alignment readingOrder="0"/>
    </xf>
    <xf borderId="0" fillId="12" fontId="9" numFmtId="0" xfId="0" applyAlignment="1" applyFill="1" applyFont="1">
      <alignment readingOrder="0"/>
    </xf>
    <xf borderId="0" fillId="4" fontId="10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4" fontId="7" numFmtId="0" xfId="0" applyFill="1" applyFont="1"/>
    <xf borderId="0" fillId="8" fontId="11" numFmtId="0" xfId="0" applyAlignment="1" applyFill="1" applyFont="1">
      <alignment readingOrder="0"/>
    </xf>
    <xf borderId="0" fillId="6" fontId="12" numFmtId="0" xfId="0" applyAlignment="1" applyFill="1" applyFont="1">
      <alignment readingOrder="0"/>
    </xf>
    <xf borderId="0" fillId="0" fontId="11" numFmtId="0" xfId="0" applyFont="1"/>
    <xf borderId="0" fillId="7" fontId="7" numFmtId="165" xfId="0" applyFill="1" applyFont="1" applyNumberFormat="1"/>
    <xf borderId="0" fillId="7" fontId="7" numFmtId="0" xfId="0" applyFill="1" applyFont="1"/>
    <xf borderId="0" fillId="0" fontId="7" numFmtId="0" xfId="0" applyFont="1"/>
    <xf borderId="0" fillId="0" fontId="7" numFmtId="0" xfId="0" applyAlignment="1" applyFont="1">
      <alignment readingOrder="0"/>
    </xf>
    <xf borderId="0" fillId="9" fontId="11" numFmtId="0" xfId="0" applyAlignment="1" applyFill="1" applyFont="1">
      <alignment readingOrder="0"/>
    </xf>
    <xf borderId="0" fillId="8" fontId="7" numFmtId="0" xfId="0" applyFill="1" applyFont="1"/>
    <xf borderId="0" fillId="0" fontId="7" numFmtId="165" xfId="0" applyAlignment="1" applyFont="1" applyNumberFormat="1">
      <alignment readingOrder="0"/>
    </xf>
    <xf borderId="0" fillId="0" fontId="11" numFmtId="165" xfId="0" applyAlignment="1" applyFont="1" applyNumberFormat="1">
      <alignment readingOrder="0"/>
    </xf>
    <xf borderId="0" fillId="0" fontId="1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3</xdr:row>
      <xdr:rowOff>238125</xdr:rowOff>
    </xdr:from>
    <xdr:ext cx="1000125" cy="419100"/>
    <xdr:sp>
      <xdr:nvSpPr>
        <xdr:cNvPr id="3" name="Shape 3"/>
        <xdr:cNvSpPr txBox="1"/>
      </xdr:nvSpPr>
      <xdr:spPr>
        <a:xfrm>
          <a:off x="2862025" y="910650"/>
          <a:ext cx="977700" cy="400200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Adicionar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12</xdr:col>
      <xdr:colOff>1533525</xdr:colOff>
      <xdr:row>3</xdr:row>
      <xdr:rowOff>238125</xdr:rowOff>
    </xdr:from>
    <xdr:ext cx="1133475" cy="419100"/>
    <xdr:sp>
      <xdr:nvSpPr>
        <xdr:cNvPr id="4" name="Shape 4"/>
        <xdr:cNvSpPr/>
      </xdr:nvSpPr>
      <xdr:spPr>
        <a:xfrm>
          <a:off x="3752225" y="2440000"/>
          <a:ext cx="1208700" cy="475500"/>
        </a:xfrm>
        <a:prstGeom prst="rect">
          <a:avLst/>
        </a:prstGeom>
        <a:solidFill>
          <a:srgbClr val="6D9EEB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Adicionar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3</xdr:row>
      <xdr:rowOff>238125</xdr:rowOff>
    </xdr:from>
    <xdr:ext cx="1000125" cy="419100"/>
    <xdr:sp>
      <xdr:nvSpPr>
        <xdr:cNvPr id="3" name="Shape 3"/>
        <xdr:cNvSpPr txBox="1"/>
      </xdr:nvSpPr>
      <xdr:spPr>
        <a:xfrm>
          <a:off x="2862025" y="910650"/>
          <a:ext cx="977700" cy="400200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Adicionar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12</xdr:col>
      <xdr:colOff>1533525</xdr:colOff>
      <xdr:row>3</xdr:row>
      <xdr:rowOff>238125</xdr:rowOff>
    </xdr:from>
    <xdr:ext cx="1133475" cy="419100"/>
    <xdr:sp>
      <xdr:nvSpPr>
        <xdr:cNvPr id="4" name="Shape 4"/>
        <xdr:cNvSpPr/>
      </xdr:nvSpPr>
      <xdr:spPr>
        <a:xfrm>
          <a:off x="3752225" y="2440000"/>
          <a:ext cx="1208700" cy="475500"/>
        </a:xfrm>
        <a:prstGeom prst="rect">
          <a:avLst/>
        </a:prstGeom>
        <a:solidFill>
          <a:srgbClr val="6D9EEB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Adicionar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3</xdr:row>
      <xdr:rowOff>238125</xdr:rowOff>
    </xdr:from>
    <xdr:ext cx="1000125" cy="419100"/>
    <xdr:sp>
      <xdr:nvSpPr>
        <xdr:cNvPr id="3" name="Shape 3"/>
        <xdr:cNvSpPr txBox="1"/>
      </xdr:nvSpPr>
      <xdr:spPr>
        <a:xfrm>
          <a:off x="2862025" y="910650"/>
          <a:ext cx="977700" cy="400200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Adicionar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12</xdr:col>
      <xdr:colOff>1533525</xdr:colOff>
      <xdr:row>3</xdr:row>
      <xdr:rowOff>238125</xdr:rowOff>
    </xdr:from>
    <xdr:ext cx="1133475" cy="419100"/>
    <xdr:sp>
      <xdr:nvSpPr>
        <xdr:cNvPr id="4" name="Shape 4"/>
        <xdr:cNvSpPr/>
      </xdr:nvSpPr>
      <xdr:spPr>
        <a:xfrm>
          <a:off x="3752225" y="2440000"/>
          <a:ext cx="1208700" cy="475500"/>
        </a:xfrm>
        <a:prstGeom prst="rect">
          <a:avLst/>
        </a:prstGeom>
        <a:solidFill>
          <a:srgbClr val="6D9EEB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Adicionar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3</xdr:row>
      <xdr:rowOff>238125</xdr:rowOff>
    </xdr:from>
    <xdr:ext cx="1000125" cy="419100"/>
    <xdr:sp>
      <xdr:nvSpPr>
        <xdr:cNvPr id="3" name="Shape 3"/>
        <xdr:cNvSpPr txBox="1"/>
      </xdr:nvSpPr>
      <xdr:spPr>
        <a:xfrm>
          <a:off x="2862025" y="910650"/>
          <a:ext cx="977700" cy="400200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Adicionar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12</xdr:col>
      <xdr:colOff>1533525</xdr:colOff>
      <xdr:row>3</xdr:row>
      <xdr:rowOff>238125</xdr:rowOff>
    </xdr:from>
    <xdr:ext cx="1133475" cy="419100"/>
    <xdr:sp>
      <xdr:nvSpPr>
        <xdr:cNvPr id="4" name="Shape 4"/>
        <xdr:cNvSpPr/>
      </xdr:nvSpPr>
      <xdr:spPr>
        <a:xfrm>
          <a:off x="3752225" y="2440000"/>
          <a:ext cx="1208700" cy="475500"/>
        </a:xfrm>
        <a:prstGeom prst="rect">
          <a:avLst/>
        </a:prstGeom>
        <a:solidFill>
          <a:srgbClr val="6D9EEB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Adicionar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3</xdr:row>
      <xdr:rowOff>238125</xdr:rowOff>
    </xdr:from>
    <xdr:ext cx="1000125" cy="419100"/>
    <xdr:sp>
      <xdr:nvSpPr>
        <xdr:cNvPr id="3" name="Shape 3"/>
        <xdr:cNvSpPr txBox="1"/>
      </xdr:nvSpPr>
      <xdr:spPr>
        <a:xfrm>
          <a:off x="2862025" y="910650"/>
          <a:ext cx="977700" cy="400200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Adicionar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3</xdr:row>
      <xdr:rowOff>238125</xdr:rowOff>
    </xdr:from>
    <xdr:ext cx="1000125" cy="419100"/>
    <xdr:sp>
      <xdr:nvSpPr>
        <xdr:cNvPr id="3" name="Shape 3"/>
        <xdr:cNvSpPr txBox="1"/>
      </xdr:nvSpPr>
      <xdr:spPr>
        <a:xfrm>
          <a:off x="2862025" y="910650"/>
          <a:ext cx="977700" cy="400200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Adicionar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3</xdr:row>
      <xdr:rowOff>238125</xdr:rowOff>
    </xdr:from>
    <xdr:ext cx="1000125" cy="419100"/>
    <xdr:sp>
      <xdr:nvSpPr>
        <xdr:cNvPr id="3" name="Shape 3"/>
        <xdr:cNvSpPr txBox="1"/>
      </xdr:nvSpPr>
      <xdr:spPr>
        <a:xfrm>
          <a:off x="2862025" y="910650"/>
          <a:ext cx="977700" cy="400200"/>
        </a:xfrm>
        <a:prstGeom prst="rect">
          <a:avLst/>
        </a:prstGeom>
        <a:solidFill>
          <a:srgbClr val="93C47D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Adicionar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7" max="7" width="27.25"/>
    <col customWidth="1" min="8" max="8" width="19.75"/>
    <col customWidth="1" min="12" max="12" width="26.75"/>
    <col customWidth="1" min="13" max="13" width="20.5"/>
    <col customWidth="1" min="14" max="14" width="25.0"/>
    <col customWidth="1" min="15" max="15" width="20.25"/>
  </cols>
  <sheetData>
    <row r="1" ht="26.25" customHeight="1">
      <c r="B1" s="1" t="s">
        <v>0</v>
      </c>
      <c r="C1" s="2">
        <v>46256.78680555556</v>
      </c>
    </row>
    <row r="2" ht="20.25" customHeight="1">
      <c r="B2" s="3" t="s">
        <v>1</v>
      </c>
      <c r="C2" s="4"/>
      <c r="D2" s="4"/>
      <c r="E2" s="4"/>
      <c r="F2" s="5"/>
      <c r="G2" s="3" t="s">
        <v>2</v>
      </c>
      <c r="H2" s="4"/>
      <c r="I2" s="4"/>
      <c r="J2" s="4"/>
      <c r="K2" s="5"/>
      <c r="L2" s="3" t="s">
        <v>3</v>
      </c>
      <c r="M2" s="6" t="s">
        <v>4</v>
      </c>
      <c r="N2" s="3" t="s">
        <v>5</v>
      </c>
      <c r="O2" s="6" t="s">
        <v>4</v>
      </c>
    </row>
    <row r="3">
      <c r="B3" s="7" t="s">
        <v>6</v>
      </c>
      <c r="C3" s="8">
        <f t="shared" ref="C3:D3" si="1">SUM(C5:C1003)</f>
        <v>3525.11</v>
      </c>
      <c r="D3" s="8">
        <f t="shared" si="1"/>
        <v>600</v>
      </c>
      <c r="E3" s="9"/>
      <c r="F3" s="5"/>
      <c r="G3" s="7" t="s">
        <v>6</v>
      </c>
      <c r="H3" s="8">
        <f t="shared" ref="H3:I3" si="2">SUM(H5:H1003)</f>
        <v>0</v>
      </c>
      <c r="I3" s="10">
        <f t="shared" si="2"/>
        <v>600</v>
      </c>
      <c r="J3" s="9"/>
      <c r="K3" s="5"/>
      <c r="L3" s="11" t="s">
        <v>7</v>
      </c>
      <c r="M3" s="12"/>
      <c r="N3" s="11" t="s">
        <v>7</v>
      </c>
      <c r="O3" s="12"/>
    </row>
    <row r="4" ht="19.5" customHeight="1">
      <c r="B4" s="13"/>
      <c r="C4" s="11" t="s">
        <v>8</v>
      </c>
      <c r="D4" s="11" t="s">
        <v>9</v>
      </c>
      <c r="E4" s="11" t="s">
        <v>10</v>
      </c>
      <c r="F4" s="14"/>
      <c r="G4" s="13"/>
      <c r="H4" s="11" t="s">
        <v>8</v>
      </c>
      <c r="I4" s="11" t="s">
        <v>9</v>
      </c>
      <c r="J4" s="11" t="s">
        <v>10</v>
      </c>
      <c r="K4" s="5"/>
      <c r="L4" s="11" t="s">
        <v>11</v>
      </c>
      <c r="M4" s="15"/>
      <c r="N4" s="11" t="s">
        <v>11</v>
      </c>
      <c r="O4" s="12"/>
    </row>
    <row r="5">
      <c r="B5" s="16" t="s">
        <v>12</v>
      </c>
      <c r="C5" s="17">
        <v>710.0</v>
      </c>
      <c r="D5" s="17"/>
      <c r="E5" s="5"/>
      <c r="F5" s="18"/>
      <c r="G5" s="16" t="s">
        <v>22</v>
      </c>
      <c r="H5" s="17"/>
      <c r="I5" s="19">
        <v>470.0</v>
      </c>
      <c r="J5" s="5"/>
      <c r="K5" s="5"/>
      <c r="L5" s="5"/>
      <c r="M5" s="5"/>
    </row>
    <row r="6">
      <c r="B6" s="16" t="s">
        <v>16</v>
      </c>
      <c r="C6" s="17">
        <v>70.0</v>
      </c>
      <c r="D6" s="17"/>
      <c r="E6" s="5"/>
      <c r="F6" s="14"/>
      <c r="G6" s="16" t="s">
        <v>28</v>
      </c>
      <c r="H6" s="17"/>
      <c r="I6" s="19">
        <v>130.0</v>
      </c>
      <c r="J6" s="5"/>
      <c r="K6" s="5"/>
      <c r="L6" s="5"/>
      <c r="M6" s="5"/>
    </row>
    <row r="7">
      <c r="B7" s="16" t="s">
        <v>20</v>
      </c>
      <c r="C7" s="17">
        <v>56.0</v>
      </c>
      <c r="D7" s="17"/>
      <c r="E7" s="5"/>
      <c r="F7" s="14"/>
      <c r="G7" s="21"/>
      <c r="H7" s="17"/>
      <c r="I7" s="19"/>
      <c r="J7" s="5"/>
      <c r="K7" s="5"/>
      <c r="L7" s="5"/>
      <c r="M7" s="5"/>
    </row>
    <row r="8">
      <c r="B8" s="16" t="s">
        <v>23</v>
      </c>
      <c r="C8" s="17">
        <v>200.0</v>
      </c>
      <c r="D8" s="15"/>
      <c r="E8" s="5"/>
      <c r="F8" s="14"/>
      <c r="G8" s="21"/>
      <c r="H8" s="14"/>
      <c r="I8" s="20"/>
      <c r="J8" s="5"/>
      <c r="K8" s="5"/>
      <c r="L8" s="5"/>
      <c r="M8" s="5"/>
    </row>
    <row r="9">
      <c r="B9" s="16" t="s">
        <v>29</v>
      </c>
      <c r="C9" s="17">
        <v>6.81</v>
      </c>
      <c r="D9" s="17"/>
      <c r="E9" s="5"/>
      <c r="F9" s="14"/>
      <c r="G9" s="23"/>
      <c r="H9" s="5"/>
      <c r="I9" s="20"/>
      <c r="J9" s="5"/>
      <c r="K9" s="5"/>
      <c r="L9" s="3" t="s">
        <v>33</v>
      </c>
      <c r="M9" s="4"/>
      <c r="N9" s="4"/>
      <c r="O9" s="4"/>
    </row>
    <row r="10">
      <c r="B10" s="16" t="s">
        <v>2</v>
      </c>
      <c r="C10" s="17">
        <v>600.0</v>
      </c>
      <c r="D10" s="17">
        <f>I3</f>
        <v>600</v>
      </c>
      <c r="E10" s="5"/>
      <c r="F10" s="14"/>
      <c r="G10" s="23"/>
      <c r="H10" s="14"/>
      <c r="I10" s="20"/>
      <c r="J10" s="5"/>
      <c r="K10" s="5"/>
      <c r="L10" s="22" t="s">
        <v>6</v>
      </c>
      <c r="M10" s="8">
        <f t="shared" ref="M10:N10" si="3">SUM(M12:M1003)</f>
        <v>362.6</v>
      </c>
      <c r="N10" s="8">
        <f t="shared" si="3"/>
        <v>606.7</v>
      </c>
      <c r="O10" s="8"/>
    </row>
    <row r="11">
      <c r="B11" s="16" t="s">
        <v>39</v>
      </c>
      <c r="C11" s="17">
        <v>40.0</v>
      </c>
      <c r="D11" s="17"/>
      <c r="E11" s="5"/>
      <c r="F11" s="14"/>
      <c r="G11" s="23"/>
      <c r="H11" s="14"/>
      <c r="I11" s="19"/>
      <c r="J11" s="5"/>
      <c r="K11" s="5"/>
      <c r="L11" s="24"/>
      <c r="M11" s="25" t="s">
        <v>8</v>
      </c>
      <c r="N11" s="25" t="s">
        <v>9</v>
      </c>
      <c r="O11" s="25" t="s">
        <v>10</v>
      </c>
    </row>
    <row r="12">
      <c r="B12" s="16" t="s">
        <v>43</v>
      </c>
      <c r="C12" s="17">
        <v>544.0</v>
      </c>
      <c r="D12" s="17"/>
      <c r="E12" s="12"/>
      <c r="F12" s="14"/>
      <c r="G12" s="21"/>
      <c r="H12" s="14"/>
      <c r="I12" s="20"/>
      <c r="J12" s="5"/>
      <c r="K12" s="5"/>
      <c r="L12" s="26" t="s">
        <v>45</v>
      </c>
      <c r="M12" s="15">
        <v>120.0</v>
      </c>
      <c r="N12" s="15">
        <v>120.0</v>
      </c>
      <c r="O12" s="27"/>
    </row>
    <row r="13">
      <c r="B13" s="16" t="s">
        <v>48</v>
      </c>
      <c r="C13" s="17">
        <v>0.0</v>
      </c>
      <c r="D13" s="17"/>
      <c r="E13" s="5"/>
      <c r="F13" s="14"/>
      <c r="G13" s="21"/>
      <c r="H13" s="14"/>
      <c r="I13" s="20"/>
      <c r="J13" s="5"/>
      <c r="K13" s="5"/>
      <c r="L13" s="26" t="s">
        <v>51</v>
      </c>
      <c r="M13" s="15">
        <v>70.0</v>
      </c>
      <c r="N13" s="15">
        <v>70.0</v>
      </c>
      <c r="O13" s="28"/>
    </row>
    <row r="14">
      <c r="B14" s="16" t="s">
        <v>53</v>
      </c>
      <c r="C14" s="17">
        <v>40.2</v>
      </c>
      <c r="D14" s="17"/>
      <c r="E14" s="12"/>
      <c r="F14" s="14"/>
      <c r="G14" s="21"/>
      <c r="H14" s="14"/>
      <c r="I14" s="19"/>
      <c r="J14" s="5"/>
      <c r="K14" s="5"/>
      <c r="L14" s="29" t="s">
        <v>56</v>
      </c>
      <c r="M14" s="12">
        <v>60.0</v>
      </c>
      <c r="N14" s="20">
        <v>60.0</v>
      </c>
      <c r="O14" s="28"/>
    </row>
    <row r="15">
      <c r="B15" s="16" t="s">
        <v>57</v>
      </c>
      <c r="C15" s="15">
        <v>300.0</v>
      </c>
      <c r="D15" s="17"/>
      <c r="E15" s="12"/>
      <c r="F15" s="14"/>
      <c r="G15" s="21"/>
      <c r="H15" s="14"/>
      <c r="I15" s="20"/>
      <c r="J15" s="5"/>
      <c r="K15" s="5"/>
      <c r="L15" s="26" t="s">
        <v>62</v>
      </c>
      <c r="M15" s="15">
        <v>71.0</v>
      </c>
      <c r="N15" s="15">
        <v>71.0</v>
      </c>
      <c r="O15" s="28"/>
    </row>
    <row r="16">
      <c r="B16" s="16" t="s">
        <v>63</v>
      </c>
      <c r="C16" s="17">
        <v>958.1</v>
      </c>
      <c r="D16" s="17"/>
      <c r="E16" s="12"/>
      <c r="F16" s="14"/>
      <c r="G16" s="21"/>
      <c r="H16" s="14"/>
      <c r="I16" s="20"/>
      <c r="J16" s="5"/>
      <c r="K16" s="5"/>
      <c r="L16" s="26" t="s">
        <v>65</v>
      </c>
      <c r="M16" s="30">
        <v>30.0</v>
      </c>
      <c r="N16" s="30">
        <v>30.0</v>
      </c>
      <c r="O16" s="28"/>
    </row>
    <row r="17">
      <c r="B17" s="11" t="s">
        <v>68</v>
      </c>
      <c r="C17" s="5"/>
      <c r="D17" s="17"/>
      <c r="E17" s="5"/>
      <c r="F17" s="14"/>
      <c r="G17" s="21"/>
      <c r="H17" s="14"/>
      <c r="I17" s="20"/>
      <c r="J17" s="5"/>
      <c r="K17" s="5"/>
      <c r="L17" s="26" t="s">
        <v>73</v>
      </c>
      <c r="M17" s="31">
        <v>11.6</v>
      </c>
      <c r="N17" s="31">
        <v>11.6</v>
      </c>
      <c r="O17" s="28"/>
    </row>
    <row r="18">
      <c r="D18" s="20"/>
      <c r="E18" s="5"/>
      <c r="F18" s="18"/>
      <c r="G18" s="36"/>
      <c r="H18" s="20"/>
      <c r="I18" s="20"/>
      <c r="J18" s="5"/>
      <c r="K18" s="5"/>
      <c r="L18" s="26" t="s">
        <v>79</v>
      </c>
      <c r="M18" s="30"/>
      <c r="N18" s="20">
        <v>8.0</v>
      </c>
      <c r="O18" s="28"/>
    </row>
    <row r="19">
      <c r="D19" s="12"/>
      <c r="E19" s="5"/>
      <c r="F19" s="5"/>
      <c r="G19" s="23"/>
      <c r="H19" s="5"/>
      <c r="I19" s="20"/>
      <c r="J19" s="5"/>
      <c r="K19" s="5"/>
      <c r="L19" s="26" t="s">
        <v>82</v>
      </c>
      <c r="M19" s="30"/>
      <c r="N19" s="20">
        <v>96.6</v>
      </c>
      <c r="O19" s="28"/>
    </row>
    <row r="20">
      <c r="B20" s="5"/>
      <c r="C20" s="5"/>
      <c r="D20" s="5"/>
      <c r="E20" s="5"/>
      <c r="F20" s="5"/>
      <c r="G20" s="23"/>
      <c r="H20" s="5"/>
      <c r="I20" s="20"/>
      <c r="J20" s="5"/>
      <c r="K20" s="5"/>
      <c r="L20" s="35" t="s">
        <v>121</v>
      </c>
      <c r="M20" s="5"/>
      <c r="N20" s="33">
        <v>27.5</v>
      </c>
      <c r="O20" s="28"/>
    </row>
    <row r="21">
      <c r="B21" s="5"/>
      <c r="C21" s="5"/>
      <c r="D21" s="5"/>
      <c r="E21" s="5"/>
      <c r="F21" s="5"/>
      <c r="G21" s="23"/>
      <c r="H21" s="5"/>
      <c r="I21" s="20"/>
      <c r="J21" s="5"/>
      <c r="K21" s="5"/>
      <c r="L21" s="35" t="s">
        <v>127</v>
      </c>
      <c r="N21" s="33">
        <v>11.0</v>
      </c>
      <c r="O21" s="28"/>
    </row>
    <row r="22">
      <c r="B22" s="5"/>
      <c r="C22" s="5"/>
      <c r="D22" s="5"/>
      <c r="E22" s="5"/>
      <c r="F22" s="5"/>
      <c r="G22" s="23"/>
      <c r="H22" s="5"/>
      <c r="I22" s="20"/>
      <c r="J22" s="5"/>
      <c r="K22" s="5"/>
      <c r="L22" s="6" t="s">
        <v>131</v>
      </c>
      <c r="M22" s="30"/>
      <c r="N22" s="20">
        <v>101.0</v>
      </c>
      <c r="O22" s="28"/>
    </row>
    <row r="23">
      <c r="B23" s="5"/>
      <c r="C23" s="5"/>
      <c r="D23" s="5"/>
      <c r="E23" s="5"/>
      <c r="F23" s="5"/>
      <c r="G23" s="23"/>
      <c r="H23" s="5"/>
      <c r="I23" s="20"/>
      <c r="J23" s="5"/>
      <c r="K23" s="5"/>
      <c r="L23" s="38"/>
      <c r="M23" s="34"/>
      <c r="N23" s="20"/>
      <c r="O23" s="28"/>
    </row>
    <row r="24">
      <c r="B24" s="5"/>
      <c r="C24" s="5"/>
      <c r="D24" s="5"/>
      <c r="E24" s="5"/>
      <c r="F24" s="5"/>
      <c r="G24" s="23"/>
      <c r="H24" s="5"/>
      <c r="I24" s="20"/>
      <c r="J24" s="5"/>
      <c r="K24" s="5"/>
      <c r="L24" s="23"/>
      <c r="M24" s="34"/>
      <c r="N24" s="20"/>
      <c r="O24" s="28"/>
    </row>
    <row r="25">
      <c r="B25" s="5"/>
      <c r="C25" s="5"/>
      <c r="D25" s="5"/>
      <c r="E25" s="5"/>
      <c r="F25" s="5"/>
      <c r="G25" s="23"/>
      <c r="H25" s="5"/>
      <c r="I25" s="20"/>
      <c r="J25" s="5"/>
      <c r="K25" s="5"/>
      <c r="L25" s="39"/>
      <c r="M25" s="30"/>
      <c r="N25" s="20"/>
      <c r="O25" s="28"/>
    </row>
    <row r="26">
      <c r="B26" s="5"/>
      <c r="C26" s="5"/>
      <c r="D26" s="5"/>
      <c r="E26" s="5"/>
      <c r="F26" s="5"/>
      <c r="G26" s="23"/>
      <c r="H26" s="5"/>
      <c r="I26" s="20"/>
      <c r="J26" s="5"/>
      <c r="K26" s="5"/>
      <c r="L26" s="38"/>
      <c r="M26" s="30"/>
      <c r="N26" s="20"/>
      <c r="O26" s="28"/>
    </row>
    <row r="27">
      <c r="B27" s="5"/>
      <c r="C27" s="14"/>
      <c r="D27" s="5"/>
      <c r="E27" s="5"/>
      <c r="F27" s="5"/>
      <c r="G27" s="23"/>
      <c r="H27" s="5"/>
      <c r="I27" s="20"/>
      <c r="J27" s="5"/>
      <c r="K27" s="5"/>
      <c r="L27" s="39"/>
      <c r="M27" s="30"/>
      <c r="N27" s="20"/>
    </row>
    <row r="28">
      <c r="B28" s="5"/>
      <c r="C28" s="5"/>
      <c r="D28" s="5"/>
      <c r="E28" s="5"/>
      <c r="F28" s="5"/>
      <c r="G28" s="23"/>
      <c r="H28" s="5"/>
      <c r="I28" s="20"/>
      <c r="J28" s="5"/>
      <c r="K28" s="5"/>
      <c r="L28" s="39"/>
      <c r="M28" s="30"/>
      <c r="N28" s="20"/>
    </row>
    <row r="29">
      <c r="B29" s="5"/>
      <c r="C29" s="5"/>
      <c r="D29" s="5"/>
      <c r="E29" s="5"/>
      <c r="F29" s="5"/>
      <c r="G29" s="23"/>
      <c r="H29" s="5"/>
      <c r="I29" s="20"/>
      <c r="J29" s="5"/>
      <c r="K29" s="5"/>
      <c r="L29" s="38"/>
      <c r="N29" s="33"/>
    </row>
    <row r="30">
      <c r="B30" s="5"/>
      <c r="C30" s="5"/>
      <c r="D30" s="5"/>
      <c r="E30" s="5"/>
      <c r="F30" s="5"/>
      <c r="G30" s="23"/>
      <c r="H30" s="5"/>
      <c r="I30" s="20"/>
      <c r="J30" s="5"/>
      <c r="K30" s="5"/>
      <c r="L30" s="38"/>
      <c r="N30" s="33"/>
    </row>
    <row r="31">
      <c r="B31" s="5"/>
      <c r="C31" s="5"/>
      <c r="D31" s="5"/>
      <c r="E31" s="5"/>
      <c r="F31" s="5"/>
      <c r="G31" s="23"/>
      <c r="H31" s="5"/>
      <c r="I31" s="20"/>
      <c r="J31" s="5"/>
      <c r="K31" s="5"/>
      <c r="N31" s="33"/>
    </row>
    <row r="32">
      <c r="B32" s="5"/>
      <c r="C32" s="5"/>
      <c r="D32" s="5"/>
      <c r="E32" s="5"/>
      <c r="F32" s="5"/>
      <c r="G32" s="23"/>
      <c r="H32" s="5"/>
      <c r="I32" s="20"/>
      <c r="J32" s="5"/>
      <c r="K32" s="5"/>
      <c r="M32" s="5"/>
      <c r="N32" s="20"/>
    </row>
    <row r="33">
      <c r="G33" s="38"/>
      <c r="I33" s="33"/>
      <c r="N33" s="33"/>
    </row>
    <row r="34">
      <c r="G34" s="38"/>
      <c r="I34" s="33"/>
      <c r="L34" s="38"/>
      <c r="N34" s="33"/>
    </row>
    <row r="35">
      <c r="G35" s="38"/>
      <c r="I35" s="33"/>
      <c r="L35" s="38"/>
      <c r="N35" s="33"/>
    </row>
    <row r="36">
      <c r="G36" s="38"/>
      <c r="I36" s="33"/>
      <c r="L36" s="38"/>
      <c r="N36" s="33"/>
    </row>
    <row r="37">
      <c r="G37" s="38"/>
      <c r="I37" s="33"/>
      <c r="L37" s="38"/>
      <c r="N37" s="33"/>
    </row>
    <row r="38">
      <c r="G38" s="38"/>
      <c r="I38" s="33"/>
      <c r="L38" s="38"/>
      <c r="N38" s="33"/>
    </row>
    <row r="39">
      <c r="G39" s="38"/>
      <c r="I39" s="33"/>
      <c r="L39" s="38"/>
      <c r="N39" s="33"/>
    </row>
    <row r="40">
      <c r="G40" s="38"/>
      <c r="I40" s="33"/>
    </row>
    <row r="41">
      <c r="G41" s="38"/>
      <c r="I41" s="33"/>
    </row>
    <row r="42">
      <c r="G42" s="38"/>
      <c r="I42" s="33"/>
    </row>
    <row r="43">
      <c r="G43" s="38"/>
      <c r="I43" s="33"/>
    </row>
    <row r="44">
      <c r="G44" s="38"/>
      <c r="I44" s="33"/>
    </row>
    <row r="45">
      <c r="G45" s="38"/>
      <c r="I45" s="33"/>
    </row>
    <row r="46">
      <c r="G46" s="38"/>
      <c r="I46" s="33"/>
    </row>
    <row r="47">
      <c r="G47" s="38"/>
      <c r="I47" s="33"/>
    </row>
    <row r="48">
      <c r="G48" s="38"/>
      <c r="I48" s="33"/>
    </row>
    <row r="49">
      <c r="G49" s="38"/>
      <c r="I49" s="33"/>
    </row>
    <row r="50">
      <c r="G50" s="38"/>
      <c r="I50" s="33"/>
    </row>
    <row r="51">
      <c r="G51" s="38"/>
      <c r="I51" s="33"/>
    </row>
    <row r="52">
      <c r="G52" s="38"/>
      <c r="I52" s="33"/>
    </row>
    <row r="53">
      <c r="G53" s="38"/>
      <c r="I53" s="33"/>
    </row>
    <row r="54">
      <c r="G54" s="38"/>
      <c r="I54" s="33"/>
    </row>
    <row r="55">
      <c r="G55" s="38"/>
      <c r="I55" s="3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7" max="7" width="27.25"/>
    <col customWidth="1" min="8" max="8" width="19.75"/>
    <col customWidth="1" min="12" max="12" width="26.75"/>
    <col customWidth="1" min="13" max="13" width="20.5"/>
    <col customWidth="1" min="14" max="14" width="25.0"/>
    <col customWidth="1" min="15" max="15" width="20.25"/>
  </cols>
  <sheetData>
    <row r="1" ht="26.25" customHeight="1">
      <c r="B1" s="1" t="s">
        <v>0</v>
      </c>
      <c r="C1" s="2">
        <v>46265.53680555556</v>
      </c>
    </row>
    <row r="2" ht="20.25" customHeight="1">
      <c r="B2" s="3" t="s">
        <v>1</v>
      </c>
      <c r="C2" s="4"/>
      <c r="D2" s="4"/>
      <c r="E2" s="4"/>
      <c r="F2" s="5"/>
      <c r="G2" s="3" t="s">
        <v>2</v>
      </c>
      <c r="H2" s="4"/>
      <c r="I2" s="4"/>
      <c r="J2" s="4"/>
      <c r="K2" s="5"/>
      <c r="L2" s="3" t="s">
        <v>3</v>
      </c>
      <c r="M2" s="6" t="s">
        <v>4</v>
      </c>
      <c r="N2" s="3" t="s">
        <v>5</v>
      </c>
      <c r="O2" s="6" t="s">
        <v>4</v>
      </c>
    </row>
    <row r="3">
      <c r="B3" s="7" t="s">
        <v>6</v>
      </c>
      <c r="C3" s="8">
        <f t="shared" ref="C3:D3" si="1">SUM(C5:C1003)</f>
        <v>3525.11</v>
      </c>
      <c r="D3" s="8">
        <f t="shared" si="1"/>
        <v>3316.58</v>
      </c>
      <c r="E3" s="9"/>
      <c r="F3" s="5"/>
      <c r="G3" s="7" t="s">
        <v>6</v>
      </c>
      <c r="H3" s="8">
        <f t="shared" ref="H3:I3" si="2">SUM(H5:H1003)</f>
        <v>0</v>
      </c>
      <c r="I3" s="10">
        <f t="shared" si="2"/>
        <v>779.47</v>
      </c>
      <c r="J3" s="9"/>
      <c r="K3" s="5"/>
      <c r="L3" s="11" t="s">
        <v>7</v>
      </c>
      <c r="M3" s="12"/>
      <c r="N3" s="11" t="s">
        <v>7</v>
      </c>
      <c r="O3" s="12"/>
    </row>
    <row r="4" ht="19.5" customHeight="1">
      <c r="B4" s="13"/>
      <c r="C4" s="11" t="s">
        <v>8</v>
      </c>
      <c r="D4" s="11" t="s">
        <v>9</v>
      </c>
      <c r="E4" s="11" t="s">
        <v>10</v>
      </c>
      <c r="F4" s="14"/>
      <c r="G4" s="13"/>
      <c r="H4" s="11" t="s">
        <v>8</v>
      </c>
      <c r="I4" s="11" t="s">
        <v>9</v>
      </c>
      <c r="J4" s="11" t="s">
        <v>10</v>
      </c>
      <c r="K4" s="5"/>
      <c r="L4" s="11" t="s">
        <v>11</v>
      </c>
      <c r="M4" s="15"/>
      <c r="N4" s="11" t="s">
        <v>11</v>
      </c>
      <c r="O4" s="12"/>
    </row>
    <row r="5">
      <c r="B5" s="16" t="s">
        <v>12</v>
      </c>
      <c r="C5" s="17">
        <v>710.0</v>
      </c>
      <c r="D5" s="17">
        <v>710.0</v>
      </c>
      <c r="E5" s="5"/>
      <c r="F5" s="18"/>
      <c r="G5" s="16" t="s">
        <v>13</v>
      </c>
      <c r="H5" s="17"/>
      <c r="I5" s="19">
        <v>8.68</v>
      </c>
      <c r="J5" s="5"/>
      <c r="K5" s="5"/>
      <c r="L5" s="5"/>
      <c r="M5" s="5"/>
    </row>
    <row r="6">
      <c r="B6" s="16" t="s">
        <v>16</v>
      </c>
      <c r="C6" s="17">
        <v>70.0</v>
      </c>
      <c r="D6" s="17">
        <v>76.0</v>
      </c>
      <c r="E6" s="5"/>
      <c r="F6" s="14"/>
      <c r="G6" s="16" t="s">
        <v>17</v>
      </c>
      <c r="H6" s="17"/>
      <c r="I6" s="19">
        <v>89.2</v>
      </c>
      <c r="J6" s="5"/>
      <c r="K6" s="5"/>
      <c r="L6" s="5"/>
      <c r="M6" s="5"/>
    </row>
    <row r="7">
      <c r="B7" s="16" t="s">
        <v>20</v>
      </c>
      <c r="C7" s="17">
        <v>56.0</v>
      </c>
      <c r="D7" s="17">
        <v>56.0</v>
      </c>
      <c r="E7" s="5"/>
      <c r="F7" s="14"/>
      <c r="G7" s="16" t="s">
        <v>21</v>
      </c>
      <c r="H7" s="17"/>
      <c r="I7" s="19">
        <v>34.0</v>
      </c>
      <c r="J7" s="5"/>
      <c r="K7" s="5"/>
      <c r="L7" s="5"/>
      <c r="M7" s="5"/>
    </row>
    <row r="8">
      <c r="B8" s="16" t="s">
        <v>23</v>
      </c>
      <c r="C8" s="17">
        <v>200.0</v>
      </c>
      <c r="D8" s="15">
        <v>146.0</v>
      </c>
      <c r="E8" s="5"/>
      <c r="F8" s="14"/>
      <c r="G8" s="16" t="s">
        <v>26</v>
      </c>
      <c r="H8" s="14"/>
      <c r="I8" s="20">
        <v>76.9</v>
      </c>
      <c r="J8" s="5"/>
      <c r="K8" s="5"/>
      <c r="L8" s="5"/>
      <c r="M8" s="5"/>
    </row>
    <row r="9">
      <c r="B9" s="16" t="s">
        <v>29</v>
      </c>
      <c r="C9" s="17">
        <v>6.81</v>
      </c>
      <c r="D9" s="17">
        <v>6.81</v>
      </c>
      <c r="E9" s="5"/>
      <c r="F9" s="14"/>
      <c r="G9" s="11" t="s">
        <v>31</v>
      </c>
      <c r="H9" s="5"/>
      <c r="I9" s="20">
        <v>28.0</v>
      </c>
      <c r="J9" s="5"/>
      <c r="K9" s="5"/>
      <c r="L9" s="3" t="s">
        <v>33</v>
      </c>
      <c r="M9" s="4"/>
      <c r="N9" s="4"/>
      <c r="O9" s="4"/>
    </row>
    <row r="10">
      <c r="B10" s="16" t="s">
        <v>2</v>
      </c>
      <c r="C10" s="17">
        <v>600.0</v>
      </c>
      <c r="D10" s="17">
        <f>I3</f>
        <v>779.47</v>
      </c>
      <c r="E10" s="5"/>
      <c r="F10" s="14"/>
      <c r="G10" s="11" t="s">
        <v>38</v>
      </c>
      <c r="H10" s="14"/>
      <c r="I10" s="20">
        <v>15.0</v>
      </c>
      <c r="J10" s="5"/>
      <c r="K10" s="5"/>
      <c r="L10" s="22" t="s">
        <v>6</v>
      </c>
      <c r="M10" s="8">
        <f t="shared" ref="M10:N10" si="3">SUM(M12:M1003)</f>
        <v>362.6</v>
      </c>
      <c r="N10" s="8">
        <f t="shared" si="3"/>
        <v>1371.05</v>
      </c>
      <c r="O10" s="8"/>
    </row>
    <row r="11">
      <c r="B11" s="16" t="s">
        <v>39</v>
      </c>
      <c r="C11" s="17">
        <v>40.0</v>
      </c>
      <c r="D11" s="17"/>
      <c r="E11" s="5"/>
      <c r="F11" s="14"/>
      <c r="G11" s="11" t="s">
        <v>40</v>
      </c>
      <c r="H11" s="14"/>
      <c r="I11" s="19">
        <v>34.0</v>
      </c>
      <c r="J11" s="5"/>
      <c r="K11" s="5"/>
      <c r="L11" s="24"/>
      <c r="M11" s="25" t="s">
        <v>8</v>
      </c>
      <c r="N11" s="25" t="s">
        <v>9</v>
      </c>
      <c r="O11" s="25" t="s">
        <v>10</v>
      </c>
    </row>
    <row r="12">
      <c r="B12" s="16" t="s">
        <v>43</v>
      </c>
      <c r="C12" s="17">
        <v>544.0</v>
      </c>
      <c r="D12" s="17">
        <v>544.0</v>
      </c>
      <c r="E12" s="12"/>
      <c r="F12" s="14"/>
      <c r="G12" s="16" t="s">
        <v>44</v>
      </c>
      <c r="H12" s="14"/>
      <c r="I12" s="20">
        <v>8.74</v>
      </c>
      <c r="J12" s="5"/>
      <c r="K12" s="5"/>
      <c r="L12" s="26" t="s">
        <v>45</v>
      </c>
      <c r="M12" s="15">
        <v>120.0</v>
      </c>
      <c r="N12" s="15">
        <v>120.0</v>
      </c>
      <c r="O12" s="27"/>
    </row>
    <row r="13">
      <c r="B13" s="16" t="s">
        <v>48</v>
      </c>
      <c r="C13" s="17">
        <v>0.0</v>
      </c>
      <c r="D13" s="17"/>
      <c r="E13" s="5"/>
      <c r="F13" s="14"/>
      <c r="G13" s="16" t="s">
        <v>50</v>
      </c>
      <c r="H13" s="14"/>
      <c r="I13" s="20">
        <v>20.0</v>
      </c>
      <c r="J13" s="5"/>
      <c r="K13" s="5"/>
      <c r="L13" s="26" t="s">
        <v>51</v>
      </c>
      <c r="M13" s="15">
        <v>70.0</v>
      </c>
      <c r="N13" s="15">
        <v>70.0</v>
      </c>
      <c r="O13" s="28"/>
    </row>
    <row r="14">
      <c r="B14" s="16" t="s">
        <v>53</v>
      </c>
      <c r="C14" s="17">
        <v>40.2</v>
      </c>
      <c r="D14" s="17">
        <v>40.2</v>
      </c>
      <c r="E14" s="12"/>
      <c r="F14" s="14"/>
      <c r="G14" s="16" t="s">
        <v>55</v>
      </c>
      <c r="H14" s="14"/>
      <c r="I14" s="19">
        <v>23.0</v>
      </c>
      <c r="J14" s="5"/>
      <c r="K14" s="5"/>
      <c r="L14" s="29" t="s">
        <v>56</v>
      </c>
      <c r="M14" s="12">
        <v>60.0</v>
      </c>
      <c r="N14" s="20">
        <v>60.0</v>
      </c>
      <c r="O14" s="28"/>
    </row>
    <row r="15">
      <c r="B15" s="16" t="s">
        <v>57</v>
      </c>
      <c r="C15" s="15">
        <v>300.0</v>
      </c>
      <c r="D15" s="17"/>
      <c r="E15" s="12"/>
      <c r="F15" s="14"/>
      <c r="G15" s="16" t="s">
        <v>58</v>
      </c>
      <c r="H15" s="14"/>
      <c r="I15" s="20">
        <v>76.0</v>
      </c>
      <c r="J15" s="5"/>
      <c r="K15" s="5"/>
      <c r="L15" s="26" t="s">
        <v>62</v>
      </c>
      <c r="M15" s="15">
        <v>71.0</v>
      </c>
      <c r="N15" s="15">
        <v>71.0</v>
      </c>
      <c r="O15" s="28"/>
    </row>
    <row r="16">
      <c r="B16" s="16" t="s">
        <v>63</v>
      </c>
      <c r="C16" s="17">
        <v>958.1</v>
      </c>
      <c r="D16" s="17">
        <v>958.1</v>
      </c>
      <c r="E16" s="12"/>
      <c r="F16" s="14"/>
      <c r="G16" s="16" t="s">
        <v>64</v>
      </c>
      <c r="H16" s="14"/>
      <c r="I16" s="20">
        <v>30.0</v>
      </c>
      <c r="J16" s="5"/>
      <c r="K16" s="5"/>
      <c r="L16" s="26" t="s">
        <v>65</v>
      </c>
      <c r="M16" s="30">
        <v>30.0</v>
      </c>
      <c r="N16" s="30">
        <v>30.0</v>
      </c>
      <c r="O16" s="28"/>
    </row>
    <row r="17">
      <c r="B17" s="11" t="s">
        <v>68</v>
      </c>
      <c r="C17" s="5"/>
      <c r="D17" s="17"/>
      <c r="E17" s="5"/>
      <c r="F17" s="14"/>
      <c r="G17" s="16" t="s">
        <v>70</v>
      </c>
      <c r="H17" s="14"/>
      <c r="I17" s="20">
        <v>27.0</v>
      </c>
      <c r="J17" s="5"/>
      <c r="K17" s="5"/>
      <c r="L17" s="26" t="s">
        <v>73</v>
      </c>
      <c r="M17" s="31">
        <v>11.6</v>
      </c>
      <c r="N17" s="31">
        <v>11.6</v>
      </c>
      <c r="O17" s="28"/>
    </row>
    <row r="18">
      <c r="D18" s="20"/>
      <c r="E18" s="5"/>
      <c r="F18" s="18"/>
      <c r="G18" s="32" t="s">
        <v>77</v>
      </c>
      <c r="H18" s="20"/>
      <c r="I18" s="20">
        <v>27.0</v>
      </c>
      <c r="J18" s="5"/>
      <c r="K18" s="5"/>
      <c r="L18" s="26" t="s">
        <v>79</v>
      </c>
      <c r="M18" s="30"/>
      <c r="N18" s="20">
        <v>8.0</v>
      </c>
      <c r="O18" s="28"/>
    </row>
    <row r="19">
      <c r="D19" s="12"/>
      <c r="E19" s="5"/>
      <c r="F19" s="5"/>
      <c r="G19" s="11" t="s">
        <v>38</v>
      </c>
      <c r="H19" s="5"/>
      <c r="I19" s="20">
        <v>6.82</v>
      </c>
      <c r="J19" s="5"/>
      <c r="K19" s="5"/>
      <c r="L19" s="26" t="s">
        <v>82</v>
      </c>
      <c r="M19" s="30"/>
      <c r="N19" s="20">
        <v>96.6</v>
      </c>
      <c r="O19" s="28"/>
    </row>
    <row r="20">
      <c r="B20" s="5"/>
      <c r="C20" s="5"/>
      <c r="D20" s="5"/>
      <c r="E20" s="5"/>
      <c r="F20" s="5"/>
      <c r="G20" s="11" t="s">
        <v>84</v>
      </c>
      <c r="H20" s="5"/>
      <c r="I20" s="20">
        <v>14.0</v>
      </c>
      <c r="J20" s="5"/>
      <c r="K20" s="5"/>
      <c r="L20" s="29" t="s">
        <v>85</v>
      </c>
      <c r="M20" s="5"/>
      <c r="N20" s="20">
        <v>24.0</v>
      </c>
      <c r="O20" s="28"/>
    </row>
    <row r="21">
      <c r="B21" s="5"/>
      <c r="C21" s="5"/>
      <c r="D21" s="5"/>
      <c r="E21" s="5"/>
      <c r="F21" s="5"/>
      <c r="G21" s="11" t="s">
        <v>25</v>
      </c>
      <c r="H21" s="5"/>
      <c r="I21" s="20">
        <v>11.0</v>
      </c>
      <c r="J21" s="5"/>
      <c r="K21" s="5"/>
      <c r="L21" s="26" t="s">
        <v>90</v>
      </c>
      <c r="N21" s="33">
        <v>116.66</v>
      </c>
      <c r="O21" s="28"/>
    </row>
    <row r="22">
      <c r="B22" s="5"/>
      <c r="C22" s="5"/>
      <c r="D22" s="5"/>
      <c r="E22" s="5"/>
      <c r="F22" s="5"/>
      <c r="G22" s="11" t="s">
        <v>38</v>
      </c>
      <c r="H22" s="5"/>
      <c r="I22" s="20">
        <v>4.0</v>
      </c>
      <c r="J22" s="5"/>
      <c r="K22" s="5"/>
      <c r="L22" s="26" t="s">
        <v>58</v>
      </c>
      <c r="M22" s="30"/>
      <c r="N22" s="20">
        <v>88.0</v>
      </c>
      <c r="O22" s="28"/>
    </row>
    <row r="23">
      <c r="B23" s="5"/>
      <c r="C23" s="5"/>
      <c r="D23" s="5"/>
      <c r="E23" s="5"/>
      <c r="F23" s="5"/>
      <c r="G23" s="11" t="s">
        <v>95</v>
      </c>
      <c r="H23" s="5"/>
      <c r="I23" s="20">
        <v>8.3</v>
      </c>
      <c r="J23" s="5"/>
      <c r="K23" s="5"/>
      <c r="L23" s="29" t="s">
        <v>97</v>
      </c>
      <c r="M23" s="34"/>
      <c r="N23" s="20">
        <v>24.0</v>
      </c>
      <c r="O23" s="28"/>
    </row>
    <row r="24">
      <c r="B24" s="5"/>
      <c r="C24" s="5"/>
      <c r="D24" s="5"/>
      <c r="E24" s="5"/>
      <c r="F24" s="5"/>
      <c r="G24" s="11" t="s">
        <v>100</v>
      </c>
      <c r="H24" s="5"/>
      <c r="I24" s="20">
        <v>38.4</v>
      </c>
      <c r="J24" s="5"/>
      <c r="K24" s="5"/>
      <c r="L24" s="29" t="s">
        <v>102</v>
      </c>
      <c r="M24" s="34"/>
      <c r="N24" s="20">
        <v>10.0</v>
      </c>
      <c r="O24" s="28"/>
    </row>
    <row r="25">
      <c r="B25" s="5"/>
      <c r="C25" s="5"/>
      <c r="D25" s="5"/>
      <c r="E25" s="5"/>
      <c r="F25" s="5"/>
      <c r="G25" s="11" t="s">
        <v>38</v>
      </c>
      <c r="H25" s="5"/>
      <c r="I25" s="20">
        <v>7.91</v>
      </c>
      <c r="J25" s="5"/>
      <c r="K25" s="5"/>
      <c r="L25" s="26" t="s">
        <v>105</v>
      </c>
      <c r="M25" s="30"/>
      <c r="N25" s="20">
        <v>30.0</v>
      </c>
      <c r="O25" s="28"/>
    </row>
    <row r="26">
      <c r="B26" s="5"/>
      <c r="C26" s="5"/>
      <c r="D26" s="5"/>
      <c r="E26" s="5"/>
      <c r="F26" s="5"/>
      <c r="G26" s="11" t="s">
        <v>108</v>
      </c>
      <c r="H26" s="5"/>
      <c r="I26" s="20">
        <v>63.5</v>
      </c>
      <c r="J26" s="5"/>
      <c r="K26" s="5"/>
      <c r="L26" s="35" t="s">
        <v>110</v>
      </c>
      <c r="M26" s="30"/>
      <c r="N26" s="20">
        <v>33.0</v>
      </c>
      <c r="O26" s="28"/>
    </row>
    <row r="27">
      <c r="B27" s="5"/>
      <c r="C27" s="14"/>
      <c r="D27" s="5"/>
      <c r="E27" s="5"/>
      <c r="F27" s="5"/>
      <c r="G27" s="11" t="s">
        <v>113</v>
      </c>
      <c r="H27" s="5"/>
      <c r="I27" s="20">
        <v>21.0</v>
      </c>
      <c r="J27" s="5"/>
      <c r="K27" s="5"/>
      <c r="L27" s="26" t="s">
        <v>126</v>
      </c>
      <c r="M27" s="30"/>
      <c r="N27" s="20">
        <v>40.0</v>
      </c>
    </row>
    <row r="28">
      <c r="B28" s="5"/>
      <c r="C28" s="5"/>
      <c r="D28" s="5"/>
      <c r="E28" s="5"/>
      <c r="F28" s="5"/>
      <c r="G28" s="11" t="s">
        <v>129</v>
      </c>
      <c r="H28" s="5"/>
      <c r="I28" s="20">
        <v>26.0</v>
      </c>
      <c r="J28" s="5"/>
      <c r="K28" s="5"/>
      <c r="L28" s="26" t="s">
        <v>133</v>
      </c>
      <c r="M28" s="30"/>
      <c r="N28" s="20">
        <v>30.0</v>
      </c>
    </row>
    <row r="29">
      <c r="B29" s="5"/>
      <c r="C29" s="5"/>
      <c r="D29" s="5"/>
      <c r="E29" s="5"/>
      <c r="F29" s="5"/>
      <c r="G29" s="11" t="s">
        <v>135</v>
      </c>
      <c r="H29" s="5"/>
      <c r="I29" s="20">
        <v>16.0</v>
      </c>
      <c r="J29" s="5"/>
      <c r="K29" s="5"/>
      <c r="L29" s="35" t="s">
        <v>137</v>
      </c>
      <c r="N29" s="33">
        <v>48.9</v>
      </c>
    </row>
    <row r="30">
      <c r="B30" s="5"/>
      <c r="C30" s="5"/>
      <c r="D30" s="5"/>
      <c r="E30" s="5"/>
      <c r="F30" s="5"/>
      <c r="G30" s="11" t="s">
        <v>139</v>
      </c>
      <c r="H30" s="5"/>
      <c r="I30" s="20">
        <v>19.0</v>
      </c>
      <c r="J30" s="5"/>
      <c r="K30" s="5"/>
      <c r="L30" s="35" t="s">
        <v>142</v>
      </c>
      <c r="N30" s="33">
        <v>15.0</v>
      </c>
    </row>
    <row r="31">
      <c r="B31" s="5"/>
      <c r="C31" s="5"/>
      <c r="D31" s="5"/>
      <c r="E31" s="5"/>
      <c r="F31" s="5"/>
      <c r="G31" s="11" t="s">
        <v>143</v>
      </c>
      <c r="H31" s="5"/>
      <c r="I31" s="20">
        <v>22.0</v>
      </c>
      <c r="J31" s="5"/>
      <c r="K31" s="5"/>
      <c r="L31" s="35" t="s">
        <v>127</v>
      </c>
      <c r="N31" s="33">
        <v>11.0</v>
      </c>
    </row>
    <row r="32">
      <c r="B32" s="5"/>
      <c r="C32" s="5"/>
      <c r="D32" s="5"/>
      <c r="E32" s="5"/>
      <c r="F32" s="5"/>
      <c r="G32" s="11" t="s">
        <v>148</v>
      </c>
      <c r="H32" s="5"/>
      <c r="I32" s="20">
        <v>16.4</v>
      </c>
      <c r="J32" s="5"/>
      <c r="K32" s="5"/>
      <c r="L32" s="6" t="s">
        <v>131</v>
      </c>
      <c r="M32" s="5"/>
      <c r="N32" s="20">
        <v>101.0</v>
      </c>
    </row>
    <row r="33">
      <c r="G33" s="37" t="s">
        <v>150</v>
      </c>
      <c r="I33" s="33">
        <v>7.62</v>
      </c>
      <c r="L33" s="40" t="s">
        <v>153</v>
      </c>
      <c r="N33" s="33">
        <v>51.21</v>
      </c>
    </row>
    <row r="34">
      <c r="G34" s="38"/>
      <c r="I34" s="33"/>
      <c r="L34" s="35" t="s">
        <v>121</v>
      </c>
      <c r="N34" s="33">
        <v>27.5</v>
      </c>
    </row>
    <row r="35">
      <c r="G35" s="38"/>
      <c r="I35" s="33"/>
      <c r="L35" s="35" t="s">
        <v>155</v>
      </c>
      <c r="N35" s="33">
        <v>55.0</v>
      </c>
    </row>
    <row r="36">
      <c r="G36" s="38"/>
      <c r="I36" s="33"/>
      <c r="L36" s="35" t="s">
        <v>25</v>
      </c>
      <c r="N36" s="33">
        <v>31.58</v>
      </c>
    </row>
    <row r="37">
      <c r="G37" s="38"/>
      <c r="I37" s="33"/>
      <c r="L37" s="35" t="s">
        <v>157</v>
      </c>
      <c r="N37" s="33">
        <v>90.0</v>
      </c>
    </row>
    <row r="38">
      <c r="G38" s="38"/>
      <c r="I38" s="33"/>
      <c r="L38" s="35" t="s">
        <v>74</v>
      </c>
      <c r="N38" s="33">
        <v>17.0</v>
      </c>
    </row>
    <row r="39">
      <c r="G39" s="38"/>
      <c r="I39" s="33"/>
      <c r="L39" s="40" t="s">
        <v>159</v>
      </c>
      <c r="N39" s="33">
        <v>60.0</v>
      </c>
    </row>
    <row r="40">
      <c r="G40" s="38"/>
      <c r="I40" s="33"/>
    </row>
    <row r="41">
      <c r="G41" s="38"/>
      <c r="I41" s="33"/>
    </row>
    <row r="42">
      <c r="G42" s="38"/>
      <c r="I42" s="33"/>
    </row>
    <row r="43">
      <c r="G43" s="38"/>
      <c r="I43" s="33"/>
    </row>
    <row r="44">
      <c r="G44" s="38"/>
      <c r="I44" s="33"/>
    </row>
    <row r="45">
      <c r="G45" s="38"/>
      <c r="I45" s="33"/>
    </row>
    <row r="46">
      <c r="G46" s="38"/>
      <c r="I46" s="33"/>
    </row>
    <row r="47">
      <c r="G47" s="38"/>
      <c r="I47" s="33"/>
    </row>
    <row r="48">
      <c r="G48" s="38"/>
      <c r="I48" s="33"/>
    </row>
    <row r="49">
      <c r="G49" s="38"/>
      <c r="I49" s="33"/>
    </row>
    <row r="50">
      <c r="G50" s="38"/>
      <c r="I50" s="33"/>
    </row>
    <row r="51">
      <c r="G51" s="38"/>
      <c r="I51" s="33"/>
    </row>
    <row r="52">
      <c r="G52" s="38"/>
      <c r="I52" s="33"/>
    </row>
    <row r="53">
      <c r="G53" s="38"/>
      <c r="I53" s="33"/>
    </row>
    <row r="54">
      <c r="G54" s="38"/>
      <c r="I54" s="33"/>
    </row>
    <row r="55">
      <c r="G55" s="38"/>
      <c r="I55" s="3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7" max="7" width="27.25"/>
    <col customWidth="1" min="8" max="8" width="19.75"/>
    <col customWidth="1" min="12" max="12" width="26.75"/>
    <col customWidth="1" min="13" max="13" width="20.5"/>
    <col customWidth="1" min="14" max="14" width="25.0"/>
    <col customWidth="1" min="15" max="15" width="20.25"/>
  </cols>
  <sheetData>
    <row r="1" ht="26.25" customHeight="1">
      <c r="B1" s="1" t="s">
        <v>0</v>
      </c>
      <c r="C1" s="2">
        <v>46237.57847222222</v>
      </c>
    </row>
    <row r="2" ht="20.25" customHeight="1">
      <c r="B2" s="3" t="s">
        <v>1</v>
      </c>
      <c r="C2" s="4"/>
      <c r="D2" s="4"/>
      <c r="E2" s="4"/>
      <c r="F2" s="5"/>
      <c r="G2" s="3" t="s">
        <v>2</v>
      </c>
      <c r="H2" s="4"/>
      <c r="I2" s="4"/>
      <c r="J2" s="4"/>
      <c r="K2" s="5"/>
      <c r="L2" s="3" t="s">
        <v>3</v>
      </c>
      <c r="M2" s="6" t="s">
        <v>4</v>
      </c>
      <c r="N2" s="3" t="s">
        <v>5</v>
      </c>
      <c r="O2" s="6" t="s">
        <v>4</v>
      </c>
    </row>
    <row r="3">
      <c r="B3" s="7" t="s">
        <v>6</v>
      </c>
      <c r="C3" s="8">
        <f t="shared" ref="C3:D3" si="1">SUM(C5:C1003)</f>
        <v>4717.15</v>
      </c>
      <c r="D3" s="8">
        <f t="shared" si="1"/>
        <v>4729.77</v>
      </c>
      <c r="E3" s="9"/>
      <c r="F3" s="5"/>
      <c r="G3" s="7" t="s">
        <v>6</v>
      </c>
      <c r="H3" s="8">
        <f t="shared" ref="H3:I3" si="2">SUM(H5:H1003)</f>
        <v>0</v>
      </c>
      <c r="I3" s="10">
        <f t="shared" si="2"/>
        <v>1251.94</v>
      </c>
      <c r="J3" s="9"/>
      <c r="K3" s="5"/>
      <c r="L3" s="11" t="s">
        <v>7</v>
      </c>
      <c r="M3" s="12"/>
      <c r="N3" s="11" t="s">
        <v>7</v>
      </c>
      <c r="O3" s="12"/>
    </row>
    <row r="4" ht="19.5" customHeight="1">
      <c r="B4" s="13"/>
      <c r="C4" s="11" t="s">
        <v>8</v>
      </c>
      <c r="D4" s="11" t="s">
        <v>9</v>
      </c>
      <c r="E4" s="11" t="s">
        <v>10</v>
      </c>
      <c r="F4" s="14"/>
      <c r="G4" s="13"/>
      <c r="H4" s="11" t="s">
        <v>8</v>
      </c>
      <c r="I4" s="11" t="s">
        <v>9</v>
      </c>
      <c r="J4" s="11" t="s">
        <v>10</v>
      </c>
      <c r="K4" s="5"/>
      <c r="L4" s="11" t="s">
        <v>11</v>
      </c>
      <c r="M4" s="15"/>
      <c r="N4" s="11" t="s">
        <v>11</v>
      </c>
      <c r="O4" s="15"/>
    </row>
    <row r="5">
      <c r="B5" s="16" t="s">
        <v>12</v>
      </c>
      <c r="C5" s="17">
        <v>710.0</v>
      </c>
      <c r="D5" s="17">
        <v>710.0</v>
      </c>
      <c r="E5" s="5"/>
      <c r="F5" s="18"/>
      <c r="G5" s="16" t="s">
        <v>15</v>
      </c>
      <c r="H5" s="17"/>
      <c r="I5" s="19">
        <v>8.63</v>
      </c>
      <c r="J5" s="5"/>
      <c r="K5" s="5"/>
      <c r="L5" s="5"/>
      <c r="M5" s="5"/>
    </row>
    <row r="6">
      <c r="B6" s="16" t="s">
        <v>16</v>
      </c>
      <c r="C6" s="17">
        <v>70.0</v>
      </c>
      <c r="D6" s="17">
        <v>88.0</v>
      </c>
      <c r="E6" s="5"/>
      <c r="F6" s="14"/>
      <c r="G6" s="16" t="s">
        <v>19</v>
      </c>
      <c r="H6" s="17"/>
      <c r="I6" s="19">
        <v>40.0</v>
      </c>
      <c r="J6" s="5"/>
      <c r="K6" s="5"/>
      <c r="L6" s="5"/>
      <c r="M6" s="5"/>
    </row>
    <row r="7">
      <c r="B7" s="16" t="s">
        <v>20</v>
      </c>
      <c r="C7" s="17">
        <v>56.0</v>
      </c>
      <c r="D7" s="17">
        <v>56.0</v>
      </c>
      <c r="E7" s="5"/>
      <c r="F7" s="14"/>
      <c r="G7" s="16" t="s">
        <v>25</v>
      </c>
      <c r="H7" s="17"/>
      <c r="I7" s="19">
        <v>13.0</v>
      </c>
      <c r="J7" s="5"/>
      <c r="K7" s="5"/>
      <c r="L7" s="5"/>
      <c r="M7" s="5"/>
    </row>
    <row r="8">
      <c r="B8" s="16" t="s">
        <v>23</v>
      </c>
      <c r="C8" s="17">
        <v>200.0</v>
      </c>
      <c r="D8" s="15">
        <v>51.0</v>
      </c>
      <c r="E8" s="5"/>
      <c r="F8" s="14"/>
      <c r="G8" s="16" t="s">
        <v>30</v>
      </c>
      <c r="H8" s="14"/>
      <c r="I8" s="20">
        <v>9.0</v>
      </c>
      <c r="J8" s="5"/>
      <c r="K8" s="5"/>
      <c r="L8" s="5"/>
      <c r="M8" s="5"/>
    </row>
    <row r="9">
      <c r="B9" s="16" t="s">
        <v>32</v>
      </c>
      <c r="C9" s="17">
        <v>120.0</v>
      </c>
      <c r="D9" s="15"/>
      <c r="E9" s="5"/>
      <c r="F9" s="14"/>
      <c r="G9" s="11" t="s">
        <v>15</v>
      </c>
      <c r="H9" s="5"/>
      <c r="I9" s="20">
        <v>8.76</v>
      </c>
      <c r="J9" s="5"/>
      <c r="K9" s="5"/>
      <c r="L9" s="3" t="s">
        <v>33</v>
      </c>
      <c r="M9" s="4"/>
      <c r="N9" s="4"/>
      <c r="O9" s="4"/>
    </row>
    <row r="10">
      <c r="B10" s="16" t="s">
        <v>29</v>
      </c>
      <c r="C10" s="17">
        <v>6.81</v>
      </c>
      <c r="D10" s="17">
        <v>6.83</v>
      </c>
      <c r="E10" s="5"/>
      <c r="F10" s="14"/>
      <c r="G10" s="11" t="s">
        <v>37</v>
      </c>
      <c r="H10" s="14"/>
      <c r="I10" s="20">
        <v>8.0</v>
      </c>
      <c r="J10" s="5"/>
      <c r="K10" s="5"/>
      <c r="L10" s="22" t="s">
        <v>6</v>
      </c>
      <c r="M10" s="8">
        <f t="shared" ref="M10:N10" si="3">SUM(M12:M1003)</f>
        <v>499.14</v>
      </c>
      <c r="N10" s="8">
        <f t="shared" si="3"/>
        <v>951.29</v>
      </c>
      <c r="O10" s="8"/>
    </row>
    <row r="11">
      <c r="B11" s="16" t="s">
        <v>2</v>
      </c>
      <c r="C11" s="17">
        <v>600.0</v>
      </c>
      <c r="D11" s="17">
        <f>I3</f>
        <v>1251.94</v>
      </c>
      <c r="E11" s="5"/>
      <c r="F11" s="14"/>
      <c r="G11" s="11" t="s">
        <v>41</v>
      </c>
      <c r="H11" s="14"/>
      <c r="I11" s="19">
        <v>7.5</v>
      </c>
      <c r="J11" s="5"/>
      <c r="K11" s="5"/>
      <c r="L11" s="24"/>
      <c r="M11" s="25" t="s">
        <v>8</v>
      </c>
      <c r="N11" s="25" t="s">
        <v>9</v>
      </c>
      <c r="O11" s="25" t="s">
        <v>10</v>
      </c>
    </row>
    <row r="12">
      <c r="B12" s="16" t="s">
        <v>39</v>
      </c>
      <c r="C12" s="17">
        <v>40.0</v>
      </c>
      <c r="D12" s="15"/>
      <c r="E12" s="12"/>
      <c r="F12" s="14"/>
      <c r="G12" s="16" t="s">
        <v>46</v>
      </c>
      <c r="H12" s="14"/>
      <c r="I12" s="20">
        <v>78.0</v>
      </c>
      <c r="J12" s="5"/>
      <c r="K12" s="5"/>
      <c r="L12" s="25" t="s">
        <v>45</v>
      </c>
      <c r="M12" s="15">
        <v>120.0</v>
      </c>
      <c r="N12" s="15">
        <v>120.0</v>
      </c>
      <c r="O12" s="27"/>
    </row>
    <row r="13">
      <c r="B13" s="16" t="s">
        <v>43</v>
      </c>
      <c r="C13" s="17">
        <v>1000.0</v>
      </c>
      <c r="D13" s="17">
        <v>989.0</v>
      </c>
      <c r="E13" s="5"/>
      <c r="F13" s="14"/>
      <c r="G13" s="16" t="s">
        <v>52</v>
      </c>
      <c r="H13" s="14"/>
      <c r="I13" s="20">
        <v>108.0</v>
      </c>
      <c r="J13" s="5"/>
      <c r="K13" s="5"/>
      <c r="L13" s="25" t="s">
        <v>51</v>
      </c>
      <c r="M13" s="15">
        <v>70.0</v>
      </c>
      <c r="N13" s="15">
        <v>70.0</v>
      </c>
      <c r="O13" s="28"/>
    </row>
    <row r="14">
      <c r="B14" s="16" t="s">
        <v>48</v>
      </c>
      <c r="C14" s="17">
        <v>1000.0</v>
      </c>
      <c r="D14" s="15"/>
      <c r="E14" s="12"/>
      <c r="F14" s="14"/>
      <c r="G14" s="16" t="s">
        <v>19</v>
      </c>
      <c r="H14" s="14"/>
      <c r="I14" s="19">
        <v>20.0</v>
      </c>
      <c r="J14" s="5"/>
      <c r="K14" s="5"/>
      <c r="L14" s="25" t="s">
        <v>60</v>
      </c>
      <c r="M14" s="15">
        <v>95.64</v>
      </c>
      <c r="N14" s="15">
        <v>95.64</v>
      </c>
      <c r="O14" s="28"/>
    </row>
    <row r="15">
      <c r="B15" s="16" t="s">
        <v>53</v>
      </c>
      <c r="C15" s="17">
        <v>32.34</v>
      </c>
      <c r="D15" s="17">
        <v>0.0</v>
      </c>
      <c r="E15" s="12" t="s">
        <v>66</v>
      </c>
      <c r="F15" s="14"/>
      <c r="G15" s="16" t="s">
        <v>69</v>
      </c>
      <c r="H15" s="14"/>
      <c r="I15" s="20">
        <v>16.0</v>
      </c>
      <c r="J15" s="5"/>
      <c r="K15" s="5"/>
      <c r="L15" s="25" t="s">
        <v>71</v>
      </c>
      <c r="M15" s="15">
        <v>71.0</v>
      </c>
      <c r="N15" s="15">
        <v>71.0</v>
      </c>
      <c r="O15" s="28"/>
    </row>
    <row r="16">
      <c r="B16" s="16" t="s">
        <v>57</v>
      </c>
      <c r="C16" s="15">
        <v>300.0</v>
      </c>
      <c r="D16" s="12">
        <v>500.0</v>
      </c>
      <c r="E16" s="12" t="s">
        <v>72</v>
      </c>
      <c r="F16" s="14"/>
      <c r="G16" s="16" t="s">
        <v>74</v>
      </c>
      <c r="H16" s="14"/>
      <c r="I16" s="20">
        <v>9.0</v>
      </c>
      <c r="J16" s="5"/>
      <c r="K16" s="5"/>
      <c r="L16" s="25" t="s">
        <v>76</v>
      </c>
      <c r="M16" s="30">
        <v>30.0</v>
      </c>
      <c r="N16" s="30">
        <v>30.0</v>
      </c>
      <c r="O16" s="28"/>
    </row>
    <row r="17">
      <c r="B17" s="16" t="s">
        <v>63</v>
      </c>
      <c r="C17" s="17">
        <v>582.0</v>
      </c>
      <c r="D17" s="17">
        <v>777.0</v>
      </c>
      <c r="E17" s="5"/>
      <c r="F17" s="14"/>
      <c r="G17" s="16" t="s">
        <v>86</v>
      </c>
      <c r="H17" s="14"/>
      <c r="I17" s="20">
        <v>11.7</v>
      </c>
      <c r="J17" s="5"/>
      <c r="K17" s="5"/>
      <c r="L17" s="25" t="s">
        <v>89</v>
      </c>
      <c r="M17" s="30">
        <v>112.5</v>
      </c>
      <c r="N17" s="30">
        <v>112.5</v>
      </c>
      <c r="O17" s="28"/>
    </row>
    <row r="18">
      <c r="B18" s="11" t="s">
        <v>68</v>
      </c>
      <c r="C18" s="5"/>
      <c r="D18" s="20">
        <v>300.0</v>
      </c>
      <c r="E18" s="5"/>
      <c r="F18" s="18"/>
      <c r="G18" s="32" t="s">
        <v>93</v>
      </c>
      <c r="H18" s="20"/>
      <c r="I18" s="20">
        <v>39.0</v>
      </c>
      <c r="J18" s="5"/>
      <c r="K18" s="5"/>
      <c r="L18" s="25" t="s">
        <v>98</v>
      </c>
      <c r="M18" s="30"/>
      <c r="N18" s="20">
        <v>34.0</v>
      </c>
      <c r="O18" s="28"/>
    </row>
    <row r="19">
      <c r="D19" s="12"/>
      <c r="E19" s="5"/>
      <c r="F19" s="5"/>
      <c r="G19" s="11" t="s">
        <v>38</v>
      </c>
      <c r="H19" s="5"/>
      <c r="I19" s="20">
        <v>8.5</v>
      </c>
      <c r="J19" s="5"/>
      <c r="K19" s="5"/>
      <c r="L19" s="25" t="s">
        <v>103</v>
      </c>
      <c r="M19" s="30"/>
      <c r="N19" s="20">
        <v>21.0</v>
      </c>
      <c r="O19" s="28"/>
    </row>
    <row r="20">
      <c r="B20" s="5"/>
      <c r="C20" s="5"/>
      <c r="D20" s="5"/>
      <c r="E20" s="5"/>
      <c r="F20" s="5"/>
      <c r="G20" s="11" t="s">
        <v>107</v>
      </c>
      <c r="H20" s="5"/>
      <c r="I20" s="20">
        <v>72.0</v>
      </c>
      <c r="J20" s="5"/>
      <c r="K20" s="5"/>
      <c r="L20" s="11" t="s">
        <v>101</v>
      </c>
      <c r="M20" s="34"/>
      <c r="N20" s="20">
        <v>20.0</v>
      </c>
      <c r="O20" s="28"/>
    </row>
    <row r="21">
      <c r="B21" s="5"/>
      <c r="C21" s="5"/>
      <c r="D21" s="5"/>
      <c r="E21" s="5"/>
      <c r="F21" s="5"/>
      <c r="G21" s="11" t="s">
        <v>114</v>
      </c>
      <c r="H21" s="5"/>
      <c r="I21" s="20">
        <v>39.0</v>
      </c>
      <c r="J21" s="5"/>
      <c r="K21" s="5"/>
      <c r="L21" s="11" t="s">
        <v>116</v>
      </c>
      <c r="M21" s="34"/>
      <c r="N21" s="20">
        <v>29.0</v>
      </c>
      <c r="O21" s="28"/>
    </row>
    <row r="22">
      <c r="B22" s="5"/>
      <c r="C22" s="5"/>
      <c r="D22" s="5"/>
      <c r="E22" s="5"/>
      <c r="F22" s="5"/>
      <c r="G22" s="11" t="s">
        <v>117</v>
      </c>
      <c r="H22" s="5"/>
      <c r="I22" s="20">
        <v>36.0</v>
      </c>
      <c r="J22" s="5"/>
      <c r="K22" s="5"/>
      <c r="L22" s="25" t="s">
        <v>118</v>
      </c>
      <c r="M22" s="30"/>
      <c r="N22" s="20">
        <v>39.0</v>
      </c>
      <c r="O22" s="28"/>
    </row>
    <row r="23">
      <c r="B23" s="5"/>
      <c r="C23" s="5"/>
      <c r="D23" s="5"/>
      <c r="E23" s="5"/>
      <c r="F23" s="5"/>
      <c r="G23" s="11" t="s">
        <v>122</v>
      </c>
      <c r="H23" s="5"/>
      <c r="I23" s="20">
        <v>18.0</v>
      </c>
      <c r="J23" s="5"/>
      <c r="K23" s="5"/>
      <c r="L23" s="37" t="s">
        <v>101</v>
      </c>
      <c r="M23" s="30"/>
      <c r="N23" s="20">
        <v>26.0</v>
      </c>
      <c r="O23" s="28"/>
    </row>
    <row r="24">
      <c r="B24" s="5"/>
      <c r="C24" s="5"/>
      <c r="D24" s="5"/>
      <c r="E24" s="5"/>
      <c r="F24" s="5"/>
      <c r="G24" s="11" t="s">
        <v>130</v>
      </c>
      <c r="H24" s="5"/>
      <c r="I24" s="20">
        <v>8.71</v>
      </c>
      <c r="J24" s="5"/>
      <c r="K24" s="5"/>
      <c r="L24" s="25" t="s">
        <v>132</v>
      </c>
      <c r="M24" s="30"/>
      <c r="N24" s="20">
        <v>130.0</v>
      </c>
      <c r="O24" s="28"/>
    </row>
    <row r="25">
      <c r="B25" s="5"/>
      <c r="C25" s="5"/>
      <c r="D25" s="5"/>
      <c r="E25" s="5"/>
      <c r="F25" s="5"/>
      <c r="G25" s="11" t="s">
        <v>138</v>
      </c>
      <c r="H25" s="5"/>
      <c r="I25" s="20">
        <v>23.0</v>
      </c>
      <c r="J25" s="5"/>
      <c r="K25" s="5"/>
      <c r="L25" s="25" t="s">
        <v>140</v>
      </c>
      <c r="M25" s="30"/>
      <c r="N25" s="20">
        <v>18.15</v>
      </c>
      <c r="O25" s="28"/>
    </row>
    <row r="26">
      <c r="B26" s="5"/>
      <c r="C26" s="5"/>
      <c r="D26" s="5"/>
      <c r="E26" s="5"/>
      <c r="F26" s="5"/>
      <c r="G26" s="11" t="s">
        <v>144</v>
      </c>
      <c r="H26" s="5"/>
      <c r="I26" s="20">
        <v>9.0</v>
      </c>
      <c r="J26" s="5"/>
      <c r="K26" s="5"/>
      <c r="L26" s="25" t="s">
        <v>50</v>
      </c>
      <c r="M26" s="30"/>
      <c r="N26" s="20">
        <v>20.0</v>
      </c>
      <c r="O26" s="28"/>
    </row>
    <row r="27">
      <c r="B27" s="5"/>
      <c r="C27" s="14"/>
      <c r="D27" s="5"/>
      <c r="E27" s="5"/>
      <c r="F27" s="5"/>
      <c r="G27" s="11" t="s">
        <v>149</v>
      </c>
      <c r="H27" s="5"/>
      <c r="I27" s="20">
        <v>9.8</v>
      </c>
      <c r="J27" s="5"/>
      <c r="K27" s="5"/>
      <c r="L27" s="25" t="s">
        <v>152</v>
      </c>
      <c r="M27" s="30"/>
      <c r="N27" s="20">
        <v>55.0</v>
      </c>
    </row>
    <row r="28">
      <c r="B28" s="5"/>
      <c r="C28" s="5"/>
      <c r="D28" s="5"/>
      <c r="E28" s="5"/>
      <c r="F28" s="5"/>
      <c r="G28" s="11" t="s">
        <v>154</v>
      </c>
      <c r="H28" s="5"/>
      <c r="I28" s="20">
        <v>70.0</v>
      </c>
      <c r="J28" s="5"/>
      <c r="K28" s="5"/>
      <c r="L28" s="11" t="s">
        <v>156</v>
      </c>
      <c r="M28" s="5"/>
      <c r="N28" s="20">
        <v>60.0</v>
      </c>
    </row>
    <row r="29">
      <c r="B29" s="5"/>
      <c r="C29" s="5"/>
      <c r="D29" s="5"/>
      <c r="E29" s="5"/>
      <c r="F29" s="5"/>
      <c r="G29" s="11" t="s">
        <v>158</v>
      </c>
      <c r="H29" s="5"/>
      <c r="I29" s="20">
        <v>8.66</v>
      </c>
      <c r="J29" s="5"/>
      <c r="K29" s="5"/>
      <c r="L29" s="5"/>
      <c r="M29" s="5"/>
      <c r="N29" s="5"/>
    </row>
    <row r="30">
      <c r="B30" s="5"/>
      <c r="C30" s="5"/>
      <c r="D30" s="5"/>
      <c r="E30" s="5"/>
      <c r="F30" s="5"/>
      <c r="G30" s="11" t="s">
        <v>160</v>
      </c>
      <c r="H30" s="5"/>
      <c r="I30" s="20">
        <v>21.0</v>
      </c>
      <c r="J30" s="5"/>
      <c r="K30" s="5"/>
      <c r="L30" s="5"/>
      <c r="M30" s="5"/>
      <c r="N30" s="5"/>
    </row>
    <row r="31">
      <c r="B31" s="5"/>
      <c r="C31" s="5"/>
      <c r="D31" s="5"/>
      <c r="E31" s="5"/>
      <c r="F31" s="5"/>
      <c r="G31" s="11" t="s">
        <v>161</v>
      </c>
      <c r="H31" s="5"/>
      <c r="I31" s="20">
        <v>21.0</v>
      </c>
      <c r="J31" s="5"/>
      <c r="K31" s="5"/>
      <c r="L31" s="5"/>
      <c r="M31" s="5"/>
      <c r="N31" s="5"/>
    </row>
    <row r="32">
      <c r="B32" s="5"/>
      <c r="C32" s="5"/>
      <c r="D32" s="5"/>
      <c r="E32" s="5"/>
      <c r="F32" s="5"/>
      <c r="G32" s="11" t="s">
        <v>162</v>
      </c>
      <c r="H32" s="5"/>
      <c r="I32" s="20">
        <v>50.0</v>
      </c>
      <c r="J32" s="5"/>
      <c r="K32" s="5"/>
      <c r="L32" s="5"/>
      <c r="M32" s="5"/>
      <c r="N32" s="5"/>
    </row>
    <row r="33">
      <c r="G33" s="37" t="s">
        <v>163</v>
      </c>
      <c r="I33" s="33">
        <v>10.0</v>
      </c>
      <c r="L33" s="5"/>
      <c r="M33" s="5"/>
      <c r="N33" s="5"/>
    </row>
    <row r="34">
      <c r="G34" s="37" t="s">
        <v>164</v>
      </c>
      <c r="I34" s="33">
        <v>40.0</v>
      </c>
      <c r="L34" s="5"/>
      <c r="M34" s="5"/>
      <c r="N34" s="5"/>
    </row>
    <row r="35">
      <c r="G35" s="37" t="s">
        <v>165</v>
      </c>
      <c r="I35" s="33">
        <v>8.62</v>
      </c>
      <c r="L35" s="5"/>
      <c r="M35" s="5"/>
      <c r="N35" s="5"/>
    </row>
    <row r="36">
      <c r="G36" s="37" t="s">
        <v>166</v>
      </c>
      <c r="I36" s="33">
        <v>36.3</v>
      </c>
      <c r="L36" s="5"/>
      <c r="M36" s="5"/>
      <c r="N36" s="5"/>
    </row>
    <row r="37">
      <c r="G37" s="37" t="s">
        <v>167</v>
      </c>
      <c r="I37" s="33">
        <v>9.0</v>
      </c>
    </row>
    <row r="38">
      <c r="G38" s="37" t="s">
        <v>168</v>
      </c>
      <c r="I38" s="33">
        <v>64.0</v>
      </c>
    </row>
    <row r="39">
      <c r="G39" s="37" t="s">
        <v>169</v>
      </c>
      <c r="I39" s="33">
        <v>47.0</v>
      </c>
    </row>
    <row r="40">
      <c r="G40" s="37" t="s">
        <v>170</v>
      </c>
      <c r="I40" s="33">
        <v>8.56</v>
      </c>
    </row>
    <row r="41">
      <c r="G41" s="37" t="s">
        <v>171</v>
      </c>
      <c r="I41" s="33">
        <v>27.5</v>
      </c>
    </row>
    <row r="42">
      <c r="G42" s="37" t="s">
        <v>172</v>
      </c>
      <c r="I42" s="33">
        <v>30.0</v>
      </c>
    </row>
    <row r="43">
      <c r="G43" s="37" t="s">
        <v>74</v>
      </c>
      <c r="I43" s="33">
        <v>5.0</v>
      </c>
    </row>
    <row r="44">
      <c r="G44" s="37" t="s">
        <v>173</v>
      </c>
      <c r="I44" s="33">
        <v>9.0</v>
      </c>
    </row>
    <row r="45">
      <c r="G45" s="37" t="s">
        <v>174</v>
      </c>
      <c r="I45" s="33">
        <v>10.0</v>
      </c>
    </row>
    <row r="46">
      <c r="G46" s="37" t="s">
        <v>175</v>
      </c>
      <c r="I46" s="33">
        <v>18.0</v>
      </c>
    </row>
    <row r="47">
      <c r="G47" s="37" t="s">
        <v>176</v>
      </c>
      <c r="I47" s="33">
        <v>10.0</v>
      </c>
    </row>
    <row r="48">
      <c r="G48" s="37" t="s">
        <v>177</v>
      </c>
      <c r="I48" s="33">
        <v>42.0</v>
      </c>
    </row>
    <row r="49">
      <c r="G49" s="37" t="s">
        <v>178</v>
      </c>
      <c r="I49" s="33">
        <v>16.0</v>
      </c>
    </row>
    <row r="50">
      <c r="G50" s="37" t="s">
        <v>179</v>
      </c>
      <c r="I50" s="33">
        <v>25.0</v>
      </c>
    </row>
    <row r="51">
      <c r="G51" s="37" t="s">
        <v>176</v>
      </c>
      <c r="I51" s="33">
        <v>8.0</v>
      </c>
    </row>
    <row r="52">
      <c r="G52" s="37" t="s">
        <v>180</v>
      </c>
      <c r="I52" s="33">
        <v>18.5</v>
      </c>
    </row>
    <row r="53">
      <c r="G53" s="37" t="s">
        <v>181</v>
      </c>
      <c r="I53" s="33">
        <v>11.2</v>
      </c>
    </row>
    <row r="54">
      <c r="G54" s="37" t="s">
        <v>182</v>
      </c>
      <c r="I54" s="33">
        <v>15.0</v>
      </c>
    </row>
    <row r="55">
      <c r="G55" s="37" t="s">
        <v>183</v>
      </c>
      <c r="I55" s="33">
        <v>12.0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7" max="7" width="27.25"/>
    <col customWidth="1" min="8" max="8" width="19.75"/>
    <col customWidth="1" min="12" max="12" width="26.75"/>
    <col customWidth="1" min="13" max="13" width="20.5"/>
    <col customWidth="1" min="14" max="14" width="25.0"/>
    <col customWidth="1" min="15" max="15" width="20.25"/>
  </cols>
  <sheetData>
    <row r="1" ht="26.25" customHeight="1">
      <c r="B1" s="1" t="s">
        <v>0</v>
      </c>
      <c r="C1" s="2">
        <v>46211.5</v>
      </c>
    </row>
    <row r="2" ht="20.25" customHeight="1">
      <c r="B2" s="3" t="s">
        <v>1</v>
      </c>
      <c r="C2" s="4"/>
      <c r="D2" s="4"/>
      <c r="E2" s="4"/>
      <c r="F2" s="5"/>
      <c r="G2" s="3" t="s">
        <v>2</v>
      </c>
      <c r="H2" s="4"/>
      <c r="I2" s="4"/>
      <c r="J2" s="4"/>
      <c r="K2" s="5"/>
      <c r="L2" s="3" t="s">
        <v>3</v>
      </c>
      <c r="M2" s="6" t="s">
        <v>4</v>
      </c>
      <c r="N2" s="3" t="s">
        <v>5</v>
      </c>
      <c r="O2" s="6" t="s">
        <v>4</v>
      </c>
    </row>
    <row r="3">
      <c r="B3" s="7" t="s">
        <v>6</v>
      </c>
      <c r="C3" s="8">
        <f t="shared" ref="C3:D3" si="1">SUM(C5:C1003)</f>
        <v>4717.15</v>
      </c>
      <c r="D3" s="8">
        <f t="shared" si="1"/>
        <v>4708.59</v>
      </c>
      <c r="E3" s="9"/>
      <c r="F3" s="5"/>
      <c r="G3" s="7" t="s">
        <v>6</v>
      </c>
      <c r="H3" s="8">
        <f t="shared" ref="H3:I3" si="2">SUM(H5:H1003)</f>
        <v>0</v>
      </c>
      <c r="I3" s="10">
        <f t="shared" si="2"/>
        <v>1156.28</v>
      </c>
      <c r="J3" s="9"/>
      <c r="K3" s="5"/>
      <c r="L3" s="11" t="s">
        <v>7</v>
      </c>
      <c r="M3" s="12"/>
      <c r="N3" s="11" t="s">
        <v>7</v>
      </c>
      <c r="O3" s="12"/>
    </row>
    <row r="4" ht="19.5" customHeight="1">
      <c r="B4" s="13"/>
      <c r="C4" s="11" t="s">
        <v>8</v>
      </c>
      <c r="D4" s="11" t="s">
        <v>9</v>
      </c>
      <c r="E4" s="11" t="s">
        <v>10</v>
      </c>
      <c r="F4" s="14"/>
      <c r="G4" s="13"/>
      <c r="H4" s="11" t="s">
        <v>8</v>
      </c>
      <c r="I4" s="11" t="s">
        <v>9</v>
      </c>
      <c r="J4" s="11" t="s">
        <v>10</v>
      </c>
      <c r="K4" s="5"/>
      <c r="L4" s="11" t="s">
        <v>11</v>
      </c>
      <c r="M4" s="15"/>
      <c r="N4" s="11" t="s">
        <v>11</v>
      </c>
      <c r="O4" s="15"/>
    </row>
    <row r="5">
      <c r="B5" s="16" t="s">
        <v>12</v>
      </c>
      <c r="C5" s="17">
        <v>710.0</v>
      </c>
      <c r="D5" s="17">
        <v>710.0</v>
      </c>
      <c r="E5" s="5"/>
      <c r="F5" s="18"/>
      <c r="G5" s="16" t="s">
        <v>14</v>
      </c>
      <c r="H5" s="17"/>
      <c r="I5" s="19">
        <v>38.42</v>
      </c>
      <c r="J5" s="5"/>
      <c r="K5" s="5"/>
      <c r="L5" s="5"/>
      <c r="M5" s="5"/>
    </row>
    <row r="6">
      <c r="B6" s="16" t="s">
        <v>16</v>
      </c>
      <c r="C6" s="17">
        <v>70.0</v>
      </c>
      <c r="D6" s="17">
        <v>93.0</v>
      </c>
      <c r="E6" s="5"/>
      <c r="F6" s="14"/>
      <c r="G6" s="16" t="s">
        <v>18</v>
      </c>
      <c r="H6" s="17"/>
      <c r="I6" s="19">
        <v>44.14</v>
      </c>
      <c r="J6" s="5"/>
      <c r="K6" s="5"/>
      <c r="L6" s="5"/>
      <c r="M6" s="5"/>
    </row>
    <row r="7">
      <c r="B7" s="16" t="s">
        <v>20</v>
      </c>
      <c r="C7" s="17">
        <v>56.0</v>
      </c>
      <c r="D7" s="17">
        <v>56.0</v>
      </c>
      <c r="E7" s="5"/>
      <c r="F7" s="14"/>
      <c r="G7" s="16" t="s">
        <v>24</v>
      </c>
      <c r="H7" s="17"/>
      <c r="I7" s="19">
        <v>60.29</v>
      </c>
      <c r="J7" s="5"/>
      <c r="K7" s="5"/>
      <c r="L7" s="5"/>
      <c r="M7" s="5"/>
    </row>
    <row r="8">
      <c r="B8" s="16" t="s">
        <v>23</v>
      </c>
      <c r="C8" s="17">
        <v>200.0</v>
      </c>
      <c r="D8" s="15">
        <v>190.0</v>
      </c>
      <c r="E8" s="5"/>
      <c r="F8" s="14"/>
      <c r="G8" s="16" t="s">
        <v>27</v>
      </c>
      <c r="H8" s="14"/>
      <c r="I8" s="20">
        <v>11.0</v>
      </c>
      <c r="J8" s="5"/>
      <c r="K8" s="5"/>
      <c r="L8" s="5"/>
      <c r="M8" s="5"/>
    </row>
    <row r="9">
      <c r="B9" s="16" t="s">
        <v>32</v>
      </c>
      <c r="C9" s="17">
        <v>120.0</v>
      </c>
      <c r="D9" s="15"/>
      <c r="E9" s="5"/>
      <c r="F9" s="14"/>
      <c r="G9" s="11" t="s">
        <v>34</v>
      </c>
      <c r="H9" s="5"/>
      <c r="I9" s="20">
        <v>19.98</v>
      </c>
      <c r="J9" s="5"/>
      <c r="K9" s="5"/>
      <c r="L9" s="3" t="s">
        <v>33</v>
      </c>
      <c r="M9" s="4"/>
      <c r="N9" s="4"/>
      <c r="O9" s="4"/>
    </row>
    <row r="10">
      <c r="B10" s="16" t="s">
        <v>29</v>
      </c>
      <c r="C10" s="17">
        <v>6.81</v>
      </c>
      <c r="D10" s="17">
        <v>6.8</v>
      </c>
      <c r="E10" s="5"/>
      <c r="F10" s="14"/>
      <c r="G10" s="11" t="s">
        <v>35</v>
      </c>
      <c r="H10" s="14"/>
      <c r="I10" s="15" t="s">
        <v>36</v>
      </c>
      <c r="J10" s="5"/>
      <c r="K10" s="5"/>
      <c r="L10" s="22" t="s">
        <v>6</v>
      </c>
      <c r="M10" s="8">
        <f t="shared" ref="M10:N10" si="3">SUM(M12:M1003)</f>
        <v>356.64</v>
      </c>
      <c r="N10" s="8">
        <f t="shared" si="3"/>
        <v>774.3</v>
      </c>
      <c r="O10" s="8"/>
    </row>
    <row r="11">
      <c r="B11" s="16" t="s">
        <v>2</v>
      </c>
      <c r="C11" s="17">
        <v>600.0</v>
      </c>
      <c r="D11" s="17">
        <f>I3</f>
        <v>1156.28</v>
      </c>
      <c r="E11" s="5"/>
      <c r="F11" s="14"/>
      <c r="G11" s="11" t="s">
        <v>42</v>
      </c>
      <c r="H11" s="14"/>
      <c r="I11" s="19">
        <v>15.0</v>
      </c>
      <c r="J11" s="5"/>
      <c r="K11" s="5"/>
      <c r="L11" s="24"/>
      <c r="M11" s="25" t="s">
        <v>8</v>
      </c>
      <c r="N11" s="25" t="s">
        <v>9</v>
      </c>
      <c r="O11" s="25" t="s">
        <v>10</v>
      </c>
    </row>
    <row r="12">
      <c r="B12" s="16" t="s">
        <v>39</v>
      </c>
      <c r="C12" s="17">
        <v>40.0</v>
      </c>
      <c r="D12" s="15">
        <v>45.0</v>
      </c>
      <c r="E12" s="12" t="s">
        <v>47</v>
      </c>
      <c r="F12" s="14"/>
      <c r="G12" s="16" t="s">
        <v>49</v>
      </c>
      <c r="H12" s="14"/>
      <c r="I12" s="20">
        <v>25.0</v>
      </c>
      <c r="J12" s="5"/>
      <c r="K12" s="5"/>
      <c r="L12" s="25" t="s">
        <v>45</v>
      </c>
      <c r="M12" s="15">
        <v>120.0</v>
      </c>
      <c r="N12" s="15">
        <v>120.0</v>
      </c>
      <c r="O12" s="27"/>
    </row>
    <row r="13">
      <c r="B13" s="16" t="s">
        <v>43</v>
      </c>
      <c r="C13" s="17">
        <v>1000.0</v>
      </c>
      <c r="D13" s="17">
        <v>996.17</v>
      </c>
      <c r="E13" s="5"/>
      <c r="F13" s="14"/>
      <c r="G13" s="16" t="s">
        <v>54</v>
      </c>
      <c r="H13" s="14"/>
      <c r="I13" s="20">
        <v>39.0</v>
      </c>
      <c r="J13" s="5"/>
      <c r="K13" s="5"/>
      <c r="L13" s="25" t="s">
        <v>51</v>
      </c>
      <c r="M13" s="15">
        <v>70.0</v>
      </c>
      <c r="N13" s="15">
        <v>70.0</v>
      </c>
      <c r="O13" s="28"/>
    </row>
    <row r="14">
      <c r="B14" s="16" t="s">
        <v>48</v>
      </c>
      <c r="C14" s="17">
        <v>1000.0</v>
      </c>
      <c r="D14" s="15">
        <v>0.0</v>
      </c>
      <c r="E14" s="12" t="s">
        <v>59</v>
      </c>
      <c r="F14" s="14"/>
      <c r="G14" s="16" t="s">
        <v>61</v>
      </c>
      <c r="H14" s="14"/>
      <c r="I14" s="19">
        <v>10.0</v>
      </c>
      <c r="J14" s="5"/>
      <c r="K14" s="5"/>
      <c r="L14" s="25" t="s">
        <v>67</v>
      </c>
      <c r="M14" s="15">
        <v>95.64</v>
      </c>
      <c r="N14" s="15">
        <v>95.64</v>
      </c>
      <c r="O14" s="28"/>
    </row>
    <row r="15">
      <c r="B15" s="16" t="s">
        <v>53</v>
      </c>
      <c r="C15" s="17">
        <v>32.34</v>
      </c>
      <c r="D15" s="17">
        <v>32.34</v>
      </c>
      <c r="E15" s="5"/>
      <c r="F15" s="14"/>
      <c r="G15" s="16" t="s">
        <v>75</v>
      </c>
      <c r="H15" s="14"/>
      <c r="I15" s="20">
        <v>2.4</v>
      </c>
      <c r="J15" s="5"/>
      <c r="K15" s="5"/>
      <c r="L15" s="25" t="s">
        <v>78</v>
      </c>
      <c r="M15" s="15">
        <v>71.0</v>
      </c>
      <c r="N15" s="15">
        <v>71.0</v>
      </c>
      <c r="O15" s="28"/>
    </row>
    <row r="16">
      <c r="B16" s="16" t="s">
        <v>57</v>
      </c>
      <c r="C16" s="15">
        <v>300.0</v>
      </c>
      <c r="D16" s="12">
        <v>541.0</v>
      </c>
      <c r="E16" s="12" t="s">
        <v>80</v>
      </c>
      <c r="F16" s="14"/>
      <c r="G16" s="16" t="s">
        <v>81</v>
      </c>
      <c r="H16" s="14"/>
      <c r="I16" s="20">
        <v>10.0</v>
      </c>
      <c r="J16" s="5"/>
      <c r="K16" s="5"/>
      <c r="L16" s="25" t="s">
        <v>83</v>
      </c>
      <c r="M16" s="30"/>
      <c r="N16" s="20">
        <v>30.0</v>
      </c>
      <c r="O16" s="28"/>
    </row>
    <row r="17">
      <c r="B17" s="16" t="s">
        <v>63</v>
      </c>
      <c r="C17" s="17">
        <v>582.0</v>
      </c>
      <c r="D17" s="17">
        <v>582.0</v>
      </c>
      <c r="E17" s="5"/>
      <c r="F17" s="14"/>
      <c r="G17" s="16" t="s">
        <v>87</v>
      </c>
      <c r="H17" s="14"/>
      <c r="I17" s="20">
        <v>11.5</v>
      </c>
      <c r="J17" s="5"/>
      <c r="K17" s="5"/>
      <c r="L17" s="25" t="s">
        <v>88</v>
      </c>
      <c r="M17" s="30"/>
      <c r="N17" s="20">
        <v>20.0</v>
      </c>
      <c r="O17" s="28"/>
    </row>
    <row r="18">
      <c r="B18" s="11" t="s">
        <v>68</v>
      </c>
      <c r="C18" s="5"/>
      <c r="D18" s="20">
        <v>300.0</v>
      </c>
      <c r="E18" s="5"/>
      <c r="F18" s="18"/>
      <c r="G18" s="32" t="s">
        <v>91</v>
      </c>
      <c r="H18" s="20"/>
      <c r="I18" s="20">
        <v>12.19</v>
      </c>
      <c r="J18" s="5"/>
      <c r="K18" s="5"/>
      <c r="L18" s="25" t="s">
        <v>92</v>
      </c>
      <c r="M18" s="30"/>
      <c r="N18" s="20">
        <v>29.0</v>
      </c>
      <c r="O18" s="28"/>
    </row>
    <row r="19">
      <c r="D19" s="12"/>
      <c r="E19" s="5"/>
      <c r="F19" s="5"/>
      <c r="G19" s="11" t="s">
        <v>94</v>
      </c>
      <c r="H19" s="5"/>
      <c r="I19" s="20">
        <v>52.9</v>
      </c>
      <c r="J19" s="5"/>
      <c r="K19" s="5"/>
      <c r="L19" s="25" t="s">
        <v>96</v>
      </c>
      <c r="M19" s="30"/>
      <c r="N19" s="20">
        <v>8.0</v>
      </c>
      <c r="O19" s="28"/>
    </row>
    <row r="20">
      <c r="B20" s="5"/>
      <c r="C20" s="5"/>
      <c r="D20" s="5"/>
      <c r="E20" s="5"/>
      <c r="F20" s="5"/>
      <c r="G20" s="11" t="s">
        <v>99</v>
      </c>
      <c r="H20" s="5"/>
      <c r="I20" s="20">
        <v>108.19</v>
      </c>
      <c r="J20" s="5"/>
      <c r="K20" s="5"/>
      <c r="L20" s="11" t="s">
        <v>101</v>
      </c>
      <c r="M20" s="34"/>
      <c r="N20" s="20">
        <v>100.0</v>
      </c>
      <c r="O20" s="28"/>
    </row>
    <row r="21">
      <c r="B21" s="5"/>
      <c r="C21" s="5"/>
      <c r="D21" s="5"/>
      <c r="E21" s="5"/>
      <c r="F21" s="5"/>
      <c r="G21" s="11" t="s">
        <v>104</v>
      </c>
      <c r="H21" s="5"/>
      <c r="I21" s="20">
        <v>96.23</v>
      </c>
      <c r="J21" s="5"/>
      <c r="K21" s="5"/>
      <c r="L21" s="11" t="s">
        <v>106</v>
      </c>
      <c r="M21" s="34"/>
      <c r="N21" s="20">
        <v>64.0</v>
      </c>
      <c r="O21" s="28"/>
    </row>
    <row r="22">
      <c r="B22" s="5"/>
      <c r="C22" s="5"/>
      <c r="D22" s="5"/>
      <c r="E22" s="5"/>
      <c r="F22" s="5"/>
      <c r="G22" s="11" t="s">
        <v>109</v>
      </c>
      <c r="H22" s="5"/>
      <c r="I22" s="20">
        <v>14.5</v>
      </c>
      <c r="J22" s="5"/>
      <c r="K22" s="5"/>
      <c r="L22" s="25" t="s">
        <v>111</v>
      </c>
      <c r="M22" s="30"/>
      <c r="N22" s="20">
        <v>14.49</v>
      </c>
      <c r="O22" s="28"/>
    </row>
    <row r="23">
      <c r="B23" s="5"/>
      <c r="C23" s="5"/>
      <c r="D23" s="5"/>
      <c r="E23" s="5"/>
      <c r="F23" s="5"/>
      <c r="G23" s="11" t="s">
        <v>112</v>
      </c>
      <c r="H23" s="5"/>
      <c r="I23" s="20">
        <v>200.0</v>
      </c>
      <c r="J23" s="5"/>
      <c r="K23" s="5"/>
      <c r="L23" s="25" t="s">
        <v>115</v>
      </c>
      <c r="M23" s="30"/>
      <c r="N23" s="20">
        <v>112.5</v>
      </c>
      <c r="O23" s="28"/>
    </row>
    <row r="24">
      <c r="B24" s="5"/>
      <c r="C24" s="5"/>
      <c r="D24" s="5"/>
      <c r="E24" s="5"/>
      <c r="F24" s="5"/>
      <c r="G24" s="11" t="s">
        <v>15</v>
      </c>
      <c r="H24" s="5"/>
      <c r="I24" s="20">
        <v>15.0</v>
      </c>
      <c r="J24" s="5"/>
      <c r="K24" s="5"/>
      <c r="L24" s="25" t="s">
        <v>103</v>
      </c>
      <c r="M24" s="30"/>
      <c r="N24" s="20">
        <v>12.7</v>
      </c>
      <c r="O24" s="28"/>
    </row>
    <row r="25">
      <c r="B25" s="5"/>
      <c r="C25" s="5"/>
      <c r="D25" s="5"/>
      <c r="E25" s="5"/>
      <c r="F25" s="5"/>
      <c r="G25" s="11" t="s">
        <v>119</v>
      </c>
      <c r="H25" s="5"/>
      <c r="I25" s="20">
        <v>20.0</v>
      </c>
      <c r="J25" s="5"/>
      <c r="K25" s="5"/>
      <c r="L25" s="25" t="s">
        <v>120</v>
      </c>
      <c r="M25" s="30"/>
      <c r="N25" s="20">
        <v>12.0</v>
      </c>
      <c r="O25" s="28"/>
    </row>
    <row r="26">
      <c r="B26" s="5"/>
      <c r="C26" s="5"/>
      <c r="D26" s="5"/>
      <c r="E26" s="5"/>
      <c r="F26" s="5"/>
      <c r="G26" s="11" t="s">
        <v>123</v>
      </c>
      <c r="H26" s="5"/>
      <c r="I26" s="20">
        <v>30.0</v>
      </c>
      <c r="J26" s="5"/>
      <c r="K26" s="5"/>
      <c r="L26" s="25" t="s">
        <v>124</v>
      </c>
      <c r="M26" s="30"/>
      <c r="N26" s="20">
        <v>14.97</v>
      </c>
      <c r="O26" s="28"/>
    </row>
    <row r="27">
      <c r="B27" s="5"/>
      <c r="C27" s="14"/>
      <c r="D27" s="5"/>
      <c r="E27" s="5"/>
      <c r="F27" s="5"/>
      <c r="G27" s="11" t="s">
        <v>125</v>
      </c>
      <c r="H27" s="5"/>
      <c r="I27" s="20">
        <v>22.3</v>
      </c>
      <c r="J27" s="5"/>
      <c r="K27" s="5"/>
      <c r="L27" s="30"/>
      <c r="M27" s="30"/>
      <c r="N27" s="5"/>
    </row>
    <row r="28">
      <c r="B28" s="5"/>
      <c r="C28" s="5"/>
      <c r="D28" s="5"/>
      <c r="E28" s="5"/>
      <c r="F28" s="5"/>
      <c r="G28" s="11" t="s">
        <v>128</v>
      </c>
      <c r="H28" s="5"/>
      <c r="I28" s="20">
        <v>25.0</v>
      </c>
      <c r="J28" s="5"/>
      <c r="K28" s="5"/>
      <c r="L28" s="5"/>
      <c r="M28" s="5"/>
      <c r="N28" s="5"/>
    </row>
    <row r="29">
      <c r="B29" s="5"/>
      <c r="C29" s="5"/>
      <c r="D29" s="5"/>
      <c r="E29" s="5"/>
      <c r="F29" s="5"/>
      <c r="G29" s="11" t="s">
        <v>134</v>
      </c>
      <c r="H29" s="5"/>
      <c r="I29" s="20">
        <v>25.0</v>
      </c>
      <c r="J29" s="5"/>
      <c r="K29" s="5"/>
      <c r="L29" s="5"/>
      <c r="M29" s="5"/>
      <c r="N29" s="5"/>
    </row>
    <row r="30">
      <c r="B30" s="5"/>
      <c r="C30" s="5"/>
      <c r="D30" s="5"/>
      <c r="E30" s="5"/>
      <c r="F30" s="5"/>
      <c r="G30" s="11" t="s">
        <v>136</v>
      </c>
      <c r="H30" s="5"/>
      <c r="I30" s="20">
        <v>7.9</v>
      </c>
      <c r="J30" s="5"/>
      <c r="K30" s="5"/>
      <c r="L30" s="5"/>
      <c r="M30" s="5"/>
      <c r="N30" s="5"/>
    </row>
    <row r="31">
      <c r="B31" s="5"/>
      <c r="C31" s="5"/>
      <c r="D31" s="5"/>
      <c r="E31" s="5"/>
      <c r="F31" s="5"/>
      <c r="G31" s="11" t="s">
        <v>141</v>
      </c>
      <c r="H31" s="5"/>
      <c r="I31" s="20">
        <v>16.67</v>
      </c>
      <c r="J31" s="5"/>
      <c r="K31" s="5"/>
      <c r="L31" s="5"/>
      <c r="M31" s="5"/>
      <c r="N31" s="5"/>
    </row>
    <row r="32">
      <c r="B32" s="5"/>
      <c r="C32" s="5"/>
      <c r="D32" s="5"/>
      <c r="E32" s="5"/>
      <c r="F32" s="5"/>
      <c r="G32" s="11" t="s">
        <v>145</v>
      </c>
      <c r="H32" s="5"/>
      <c r="I32" s="20">
        <v>11.48</v>
      </c>
      <c r="J32" s="5"/>
      <c r="K32" s="5"/>
      <c r="L32" s="5"/>
      <c r="M32" s="5"/>
      <c r="N32" s="5"/>
    </row>
    <row r="33">
      <c r="G33" s="11" t="s">
        <v>146</v>
      </c>
      <c r="H33" s="5"/>
      <c r="I33" s="20">
        <v>8.9</v>
      </c>
      <c r="L33" s="5"/>
      <c r="M33" s="5"/>
      <c r="N33" s="5"/>
    </row>
    <row r="34">
      <c r="G34" s="11" t="s">
        <v>147</v>
      </c>
      <c r="H34" s="5"/>
      <c r="I34" s="20">
        <v>7.84</v>
      </c>
      <c r="L34" s="5"/>
      <c r="M34" s="5"/>
      <c r="N34" s="5"/>
    </row>
    <row r="35">
      <c r="G35" s="11" t="s">
        <v>25</v>
      </c>
      <c r="H35" s="5"/>
      <c r="I35" s="20">
        <v>15.45</v>
      </c>
      <c r="L35" s="5"/>
      <c r="M35" s="5"/>
      <c r="N35" s="5"/>
    </row>
    <row r="36">
      <c r="G36" s="11" t="s">
        <v>151</v>
      </c>
      <c r="H36" s="5"/>
      <c r="I36" s="20">
        <v>180.0</v>
      </c>
      <c r="L36" s="5"/>
      <c r="M36" s="5"/>
      <c r="N36" s="5"/>
    </row>
    <row r="37">
      <c r="G37" s="5"/>
      <c r="H37" s="5"/>
      <c r="I37" s="5"/>
    </row>
    <row r="38">
      <c r="G38" s="5"/>
      <c r="H38" s="5"/>
      <c r="I38" s="5"/>
    </row>
    <row r="39">
      <c r="G39" s="5"/>
      <c r="H39" s="5"/>
      <c r="I39" s="5"/>
    </row>
    <row r="40">
      <c r="G40" s="5"/>
      <c r="H40" s="5"/>
      <c r="I40" s="5"/>
    </row>
    <row r="41">
      <c r="G41" s="5"/>
      <c r="H41" s="5"/>
      <c r="I41" s="5"/>
    </row>
    <row r="42">
      <c r="G42" s="5"/>
      <c r="H42" s="5"/>
      <c r="I42" s="5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7" max="7" width="27.25"/>
    <col customWidth="1" min="8" max="8" width="19.75"/>
    <col customWidth="1" min="12" max="12" width="26.75"/>
    <col customWidth="1" min="13" max="13" width="20.5"/>
  </cols>
  <sheetData>
    <row r="1" ht="26.25" customHeight="1"/>
    <row r="2" ht="20.25" customHeight="1">
      <c r="B2" s="3" t="s">
        <v>1</v>
      </c>
      <c r="C2" s="4"/>
      <c r="D2" s="4"/>
      <c r="E2" s="4"/>
      <c r="F2" s="5"/>
      <c r="G2" s="3" t="s">
        <v>2</v>
      </c>
      <c r="H2" s="4"/>
      <c r="I2" s="4"/>
      <c r="J2" s="4"/>
      <c r="K2" s="5"/>
      <c r="L2" s="3" t="s">
        <v>3</v>
      </c>
      <c r="M2" s="6" t="s">
        <v>4</v>
      </c>
    </row>
    <row r="3">
      <c r="B3" s="7" t="s">
        <v>6</v>
      </c>
      <c r="C3" s="8">
        <f t="shared" ref="C3:D3" si="1">SUM(C5:C1003)</f>
        <v>3804.53</v>
      </c>
      <c r="D3" s="8">
        <f t="shared" si="1"/>
        <v>4837.48</v>
      </c>
      <c r="E3" s="9"/>
      <c r="F3" s="5"/>
      <c r="G3" s="7" t="s">
        <v>6</v>
      </c>
      <c r="H3" s="8">
        <f t="shared" ref="H3:I3" si="2">SUM(H5:H1003)</f>
        <v>957.34</v>
      </c>
      <c r="I3" s="8">
        <f t="shared" si="2"/>
        <v>2367.27</v>
      </c>
      <c r="J3" s="9"/>
      <c r="K3" s="5"/>
      <c r="L3" s="11" t="s">
        <v>7</v>
      </c>
      <c r="M3" s="12"/>
    </row>
    <row r="4" ht="19.5" customHeight="1">
      <c r="B4" s="13"/>
      <c r="C4" s="11" t="s">
        <v>8</v>
      </c>
      <c r="D4" s="11" t="s">
        <v>9</v>
      </c>
      <c r="E4" s="11" t="s">
        <v>10</v>
      </c>
      <c r="F4" s="14"/>
      <c r="G4" s="13"/>
      <c r="H4" s="11" t="s">
        <v>8</v>
      </c>
      <c r="I4" s="11" t="s">
        <v>9</v>
      </c>
      <c r="J4" s="11" t="s">
        <v>10</v>
      </c>
      <c r="K4" s="5"/>
      <c r="L4" s="11" t="s">
        <v>11</v>
      </c>
      <c r="M4" s="15"/>
    </row>
    <row r="5">
      <c r="B5" s="16" t="s">
        <v>12</v>
      </c>
      <c r="C5" s="17">
        <v>710.0</v>
      </c>
      <c r="D5" s="17">
        <v>710.0</v>
      </c>
      <c r="E5" s="5"/>
      <c r="F5" s="18"/>
      <c r="G5" s="16" t="s">
        <v>63</v>
      </c>
      <c r="H5" s="17">
        <v>557.34</v>
      </c>
      <c r="I5" s="17">
        <v>557.34</v>
      </c>
      <c r="J5" s="5"/>
      <c r="K5" s="5"/>
      <c r="L5" s="5"/>
      <c r="M5" s="5"/>
    </row>
    <row r="6">
      <c r="B6" s="16" t="s">
        <v>16</v>
      </c>
      <c r="C6" s="17">
        <v>70.0</v>
      </c>
      <c r="D6" s="17">
        <v>85.5</v>
      </c>
      <c r="E6" s="5"/>
      <c r="F6" s="14"/>
      <c r="G6" s="16" t="s">
        <v>189</v>
      </c>
      <c r="H6" s="17"/>
      <c r="I6" s="19">
        <v>103.43</v>
      </c>
      <c r="J6" s="5"/>
      <c r="K6" s="5"/>
      <c r="L6" s="5"/>
      <c r="M6" s="5"/>
    </row>
    <row r="7">
      <c r="B7" s="16" t="s">
        <v>20</v>
      </c>
      <c r="C7" s="17">
        <v>56.0</v>
      </c>
      <c r="D7" s="17">
        <v>45.0</v>
      </c>
      <c r="E7" s="5"/>
      <c r="F7" s="14"/>
      <c r="G7" s="16" t="s">
        <v>190</v>
      </c>
      <c r="H7" s="17"/>
      <c r="I7" s="19">
        <v>11.2</v>
      </c>
      <c r="J7" s="5"/>
      <c r="K7" s="5"/>
      <c r="L7" s="5"/>
      <c r="M7" s="5"/>
    </row>
    <row r="8">
      <c r="B8" s="16" t="s">
        <v>23</v>
      </c>
      <c r="C8" s="17">
        <v>200.0</v>
      </c>
      <c r="D8" s="15">
        <v>116.0</v>
      </c>
      <c r="E8" s="5"/>
      <c r="F8" s="14"/>
      <c r="G8" s="16" t="s">
        <v>192</v>
      </c>
      <c r="H8" s="17"/>
      <c r="I8" s="19">
        <v>14.4</v>
      </c>
      <c r="J8" s="5"/>
      <c r="K8" s="5"/>
      <c r="L8" s="5"/>
      <c r="M8" s="5"/>
    </row>
    <row r="9">
      <c r="B9" s="16" t="s">
        <v>32</v>
      </c>
      <c r="C9" s="17">
        <v>120.0</v>
      </c>
      <c r="D9" s="15"/>
      <c r="E9" s="5"/>
      <c r="F9" s="14"/>
      <c r="G9" s="16" t="s">
        <v>195</v>
      </c>
      <c r="H9" s="14"/>
      <c r="I9" s="20">
        <v>20.0</v>
      </c>
      <c r="J9" s="5"/>
      <c r="K9" s="5"/>
      <c r="L9" s="3" t="s">
        <v>33</v>
      </c>
      <c r="M9" s="4"/>
      <c r="N9" s="4"/>
      <c r="O9" s="4"/>
    </row>
    <row r="10">
      <c r="B10" s="16" t="s">
        <v>29</v>
      </c>
      <c r="C10" s="17">
        <v>6.81</v>
      </c>
      <c r="D10" s="17">
        <v>6.82</v>
      </c>
      <c r="E10" s="5"/>
      <c r="F10" s="14"/>
      <c r="G10" s="11" t="s">
        <v>197</v>
      </c>
      <c r="H10" s="14"/>
      <c r="I10" s="20">
        <v>21.8</v>
      </c>
      <c r="J10" s="5"/>
      <c r="K10" s="5"/>
      <c r="L10" s="22" t="s">
        <v>6</v>
      </c>
      <c r="M10" s="8">
        <f t="shared" ref="M10:N10" si="3">SUM(M12:M1003)</f>
        <v>1011.83</v>
      </c>
      <c r="N10" s="8">
        <f t="shared" si="3"/>
        <v>0</v>
      </c>
      <c r="O10" s="8"/>
    </row>
    <row r="11">
      <c r="B11" s="16" t="s">
        <v>2</v>
      </c>
      <c r="C11" s="17">
        <v>250.0</v>
      </c>
      <c r="D11" s="17">
        <f>I3</f>
        <v>2367.27</v>
      </c>
      <c r="E11" s="5"/>
      <c r="F11" s="14"/>
      <c r="G11" s="11" t="s">
        <v>203</v>
      </c>
      <c r="H11" s="14"/>
      <c r="I11" s="19">
        <v>55.7</v>
      </c>
      <c r="J11" s="5"/>
      <c r="K11" s="5"/>
      <c r="L11" s="24"/>
      <c r="M11" s="25" t="s">
        <v>8</v>
      </c>
      <c r="N11" s="25" t="s">
        <v>9</v>
      </c>
      <c r="O11" s="25" t="s">
        <v>10</v>
      </c>
    </row>
    <row r="12">
      <c r="B12" s="16" t="s">
        <v>39</v>
      </c>
      <c r="C12" s="17">
        <v>40.0</v>
      </c>
      <c r="D12" s="15">
        <v>40.0</v>
      </c>
      <c r="E12" s="5"/>
      <c r="F12" s="14"/>
      <c r="G12" s="16" t="s">
        <v>207</v>
      </c>
      <c r="H12" s="14"/>
      <c r="I12" s="20">
        <v>13.99</v>
      </c>
      <c r="J12" s="5"/>
      <c r="K12" s="5"/>
      <c r="L12" s="25" t="s">
        <v>45</v>
      </c>
      <c r="M12" s="15">
        <v>120.0</v>
      </c>
      <c r="N12" s="17"/>
      <c r="O12" s="27"/>
    </row>
    <row r="13">
      <c r="B13" s="16" t="s">
        <v>43</v>
      </c>
      <c r="C13" s="17">
        <v>1000.0</v>
      </c>
      <c r="D13" s="17">
        <v>996.17</v>
      </c>
      <c r="E13" s="5"/>
      <c r="F13" s="14"/>
      <c r="G13" s="16" t="s">
        <v>209</v>
      </c>
      <c r="H13" s="14"/>
      <c r="I13" s="20">
        <v>50.0</v>
      </c>
      <c r="J13" s="5"/>
      <c r="K13" s="5"/>
      <c r="L13" s="25" t="s">
        <v>51</v>
      </c>
      <c r="M13" s="15">
        <v>35.0</v>
      </c>
      <c r="N13" s="28"/>
      <c r="O13" s="28"/>
    </row>
    <row r="14">
      <c r="B14" s="16" t="s">
        <v>48</v>
      </c>
      <c r="C14" s="17">
        <v>1000.0</v>
      </c>
      <c r="D14" s="15">
        <v>0.0</v>
      </c>
      <c r="E14" s="12" t="s">
        <v>210</v>
      </c>
      <c r="F14" s="14"/>
      <c r="G14" s="16" t="s">
        <v>211</v>
      </c>
      <c r="H14" s="14"/>
      <c r="I14" s="19">
        <v>15.92</v>
      </c>
      <c r="J14" s="5"/>
      <c r="K14" s="5"/>
      <c r="L14" s="25" t="s">
        <v>212</v>
      </c>
      <c r="M14" s="15">
        <v>180.0</v>
      </c>
      <c r="N14" s="28"/>
      <c r="O14" s="28"/>
    </row>
    <row r="15">
      <c r="B15" s="16" t="s">
        <v>53</v>
      </c>
      <c r="C15" s="17">
        <v>51.72</v>
      </c>
      <c r="D15" s="17">
        <v>51.72</v>
      </c>
      <c r="E15" s="5"/>
      <c r="F15" s="14"/>
      <c r="G15" s="16" t="s">
        <v>213</v>
      </c>
      <c r="H15" s="14"/>
      <c r="I15" s="20">
        <v>26.49</v>
      </c>
      <c r="J15" s="5"/>
      <c r="K15" s="5"/>
      <c r="L15" s="25" t="s">
        <v>214</v>
      </c>
      <c r="M15" s="15">
        <v>48.5</v>
      </c>
      <c r="N15" s="28"/>
      <c r="O15" s="28"/>
    </row>
    <row r="16">
      <c r="B16" s="16" t="s">
        <v>57</v>
      </c>
      <c r="C16" s="15">
        <v>300.0</v>
      </c>
      <c r="D16" s="12">
        <v>419.0</v>
      </c>
      <c r="E16" s="12" t="s">
        <v>215</v>
      </c>
      <c r="F16" s="14"/>
      <c r="G16" s="16" t="s">
        <v>216</v>
      </c>
      <c r="H16" s="14"/>
      <c r="I16" s="20">
        <v>40.0</v>
      </c>
      <c r="J16" s="5"/>
      <c r="K16" s="5"/>
      <c r="L16" s="25" t="s">
        <v>217</v>
      </c>
      <c r="M16" s="15">
        <v>29.9</v>
      </c>
      <c r="N16" s="28"/>
      <c r="O16" s="28"/>
    </row>
    <row r="17">
      <c r="B17" s="41"/>
      <c r="C17" s="12"/>
      <c r="D17" s="12"/>
      <c r="E17" s="5"/>
      <c r="F17" s="14"/>
      <c r="G17" s="16" t="s">
        <v>218</v>
      </c>
      <c r="H17" s="14"/>
      <c r="I17" s="20">
        <v>96.0</v>
      </c>
      <c r="J17" s="5"/>
      <c r="K17" s="5"/>
      <c r="L17" s="25" t="s">
        <v>219</v>
      </c>
      <c r="M17" s="15">
        <v>56.8</v>
      </c>
      <c r="N17" s="28"/>
      <c r="O17" s="28"/>
    </row>
    <row r="18">
      <c r="D18" s="12"/>
      <c r="E18" s="5"/>
      <c r="F18" s="18"/>
      <c r="G18" s="11" t="s">
        <v>220</v>
      </c>
      <c r="H18" s="20">
        <v>400.0</v>
      </c>
      <c r="I18" s="20">
        <v>400.0</v>
      </c>
      <c r="J18" s="5"/>
      <c r="K18" s="5"/>
      <c r="L18" s="25" t="s">
        <v>221</v>
      </c>
      <c r="M18" s="15">
        <v>27.5</v>
      </c>
      <c r="N18" s="28"/>
      <c r="O18" s="28"/>
    </row>
    <row r="19">
      <c r="D19" s="12"/>
      <c r="E19" s="5"/>
      <c r="F19" s="5"/>
      <c r="G19" s="11" t="s">
        <v>222</v>
      </c>
      <c r="H19" s="5"/>
      <c r="I19" s="20">
        <v>9.0</v>
      </c>
      <c r="J19" s="5"/>
      <c r="K19" s="5"/>
      <c r="L19" s="25" t="s">
        <v>223</v>
      </c>
      <c r="M19" s="15">
        <v>6.49</v>
      </c>
      <c r="N19" s="28"/>
      <c r="O19" s="28"/>
    </row>
    <row r="20">
      <c r="B20" s="5"/>
      <c r="C20" s="5"/>
      <c r="D20" s="5"/>
      <c r="E20" s="5"/>
      <c r="F20" s="5"/>
      <c r="G20" s="11" t="s">
        <v>224</v>
      </c>
      <c r="H20" s="5"/>
      <c r="I20" s="20">
        <v>96.0</v>
      </c>
      <c r="J20" s="5"/>
      <c r="K20" s="5"/>
      <c r="L20" s="25" t="s">
        <v>225</v>
      </c>
      <c r="M20" s="15">
        <v>95.64</v>
      </c>
      <c r="N20" s="28"/>
      <c r="O20" s="28"/>
    </row>
    <row r="21">
      <c r="B21" s="5"/>
      <c r="C21" s="5"/>
      <c r="D21" s="5"/>
      <c r="E21" s="5"/>
      <c r="F21" s="5"/>
      <c r="G21" s="11" t="s">
        <v>226</v>
      </c>
      <c r="H21" s="5"/>
      <c r="I21" s="20">
        <v>171.0</v>
      </c>
      <c r="J21" s="5"/>
      <c r="K21" s="5"/>
      <c r="L21" s="25" t="s">
        <v>227</v>
      </c>
      <c r="M21" s="15">
        <v>71.0</v>
      </c>
      <c r="N21" s="28"/>
      <c r="O21" s="28"/>
    </row>
    <row r="22">
      <c r="B22" s="5"/>
      <c r="C22" s="5"/>
      <c r="D22" s="5"/>
      <c r="E22" s="5"/>
      <c r="F22" s="5"/>
      <c r="G22" s="11" t="s">
        <v>218</v>
      </c>
      <c r="H22" s="5"/>
      <c r="I22" s="20">
        <v>389.0</v>
      </c>
      <c r="J22" s="5"/>
      <c r="K22" s="5"/>
      <c r="L22" s="25" t="s">
        <v>228</v>
      </c>
      <c r="M22" s="15">
        <v>10.0</v>
      </c>
      <c r="N22" s="28"/>
      <c r="O22" s="28"/>
    </row>
    <row r="23">
      <c r="B23" s="5"/>
      <c r="C23" s="5"/>
      <c r="D23" s="5"/>
      <c r="E23" s="5"/>
      <c r="F23" s="5"/>
      <c r="G23" s="11" t="s">
        <v>218</v>
      </c>
      <c r="H23" s="5"/>
      <c r="I23" s="20">
        <v>30.0</v>
      </c>
      <c r="J23" s="5"/>
      <c r="K23" s="5"/>
      <c r="L23" s="25" t="s">
        <v>229</v>
      </c>
      <c r="M23" s="15">
        <v>42.0</v>
      </c>
      <c r="N23" s="28"/>
      <c r="O23" s="28"/>
    </row>
    <row r="24">
      <c r="B24" s="5"/>
      <c r="C24" s="5"/>
      <c r="D24" s="5"/>
      <c r="E24" s="5"/>
      <c r="F24" s="5"/>
      <c r="G24" s="11" t="s">
        <v>230</v>
      </c>
      <c r="H24" s="5"/>
      <c r="I24" s="20">
        <v>10.0</v>
      </c>
      <c r="J24" s="5"/>
      <c r="K24" s="5"/>
      <c r="L24" s="25" t="s">
        <v>231</v>
      </c>
      <c r="M24" s="15">
        <v>75.0</v>
      </c>
      <c r="N24" s="28"/>
      <c r="O24" s="28"/>
    </row>
    <row r="25">
      <c r="B25" s="5"/>
      <c r="C25" s="5"/>
      <c r="D25" s="5"/>
      <c r="E25" s="5"/>
      <c r="F25" s="5"/>
      <c r="G25" s="11" t="s">
        <v>232</v>
      </c>
      <c r="H25" s="5"/>
      <c r="I25" s="20">
        <v>13.0</v>
      </c>
      <c r="J25" s="5"/>
      <c r="K25" s="5"/>
      <c r="L25" s="25" t="s">
        <v>226</v>
      </c>
      <c r="M25" s="15">
        <v>86.0</v>
      </c>
      <c r="N25" s="28"/>
      <c r="O25" s="28"/>
    </row>
    <row r="26">
      <c r="B26" s="5"/>
      <c r="C26" s="5"/>
      <c r="D26" s="5"/>
      <c r="E26" s="5"/>
      <c r="F26" s="5"/>
      <c r="G26" s="11" t="s">
        <v>233</v>
      </c>
      <c r="H26" s="5"/>
      <c r="I26" s="20">
        <v>14.0</v>
      </c>
      <c r="J26" s="5"/>
      <c r="K26" s="5"/>
      <c r="L26" s="25" t="s">
        <v>234</v>
      </c>
      <c r="M26" s="15">
        <v>66.0</v>
      </c>
      <c r="N26" s="28"/>
      <c r="O26" s="28"/>
    </row>
    <row r="27">
      <c r="B27" s="5"/>
      <c r="C27" s="14"/>
      <c r="D27" s="5"/>
      <c r="E27" s="5"/>
      <c r="F27" s="5"/>
      <c r="G27" s="11" t="s">
        <v>157</v>
      </c>
      <c r="H27" s="5"/>
      <c r="I27" s="20">
        <v>30.0</v>
      </c>
      <c r="J27" s="5"/>
      <c r="K27" s="5"/>
      <c r="L27" s="25" t="s">
        <v>236</v>
      </c>
      <c r="M27" s="15">
        <v>62.0</v>
      </c>
    </row>
    <row r="28">
      <c r="B28" s="5"/>
      <c r="C28" s="5"/>
      <c r="D28" s="5"/>
      <c r="E28" s="5"/>
      <c r="F28" s="5"/>
      <c r="G28" s="11" t="s">
        <v>237</v>
      </c>
      <c r="H28" s="5"/>
      <c r="I28" s="20">
        <v>31.0</v>
      </c>
      <c r="J28" s="5"/>
      <c r="K28" s="5"/>
      <c r="L28" s="5"/>
      <c r="M28" s="5"/>
    </row>
    <row r="29">
      <c r="B29" s="5"/>
      <c r="C29" s="5"/>
      <c r="D29" s="5"/>
      <c r="E29" s="5"/>
      <c r="F29" s="5"/>
      <c r="G29" s="11" t="s">
        <v>238</v>
      </c>
      <c r="H29" s="5"/>
      <c r="I29" s="20">
        <v>28.0</v>
      </c>
      <c r="J29" s="5"/>
      <c r="K29" s="5"/>
      <c r="L29" s="12" t="s">
        <v>239</v>
      </c>
      <c r="M29" s="5"/>
    </row>
    <row r="30">
      <c r="B30" s="5"/>
      <c r="C30" s="5"/>
      <c r="D30" s="5"/>
      <c r="E30" s="5"/>
      <c r="F30" s="5"/>
      <c r="G30" s="11" t="s">
        <v>240</v>
      </c>
      <c r="H30" s="5"/>
      <c r="I30" s="20">
        <v>14.0</v>
      </c>
      <c r="J30" s="5"/>
      <c r="K30" s="5"/>
      <c r="L30" s="5"/>
      <c r="M30" s="5"/>
    </row>
    <row r="31">
      <c r="B31" s="5"/>
      <c r="C31" s="5"/>
      <c r="D31" s="5"/>
      <c r="E31" s="5"/>
      <c r="F31" s="5"/>
      <c r="G31" s="11" t="s">
        <v>241</v>
      </c>
      <c r="H31" s="5"/>
      <c r="I31" s="20">
        <v>53.0</v>
      </c>
      <c r="J31" s="5"/>
      <c r="K31" s="5"/>
      <c r="L31" s="5"/>
      <c r="M31" s="5"/>
    </row>
    <row r="32">
      <c r="B32" s="5"/>
      <c r="C32" s="5"/>
      <c r="D32" s="5"/>
      <c r="E32" s="5"/>
      <c r="F32" s="5"/>
      <c r="G32" s="11" t="s">
        <v>243</v>
      </c>
      <c r="H32" s="5"/>
      <c r="I32" s="20">
        <v>24.0</v>
      </c>
      <c r="J32" s="5"/>
      <c r="K32" s="5"/>
      <c r="L32" s="5"/>
      <c r="M32" s="5"/>
    </row>
    <row r="33">
      <c r="G33" s="37" t="s">
        <v>245</v>
      </c>
      <c r="I33" s="33">
        <v>29.0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7" max="7" width="27.25"/>
    <col customWidth="1" min="8" max="8" width="19.75"/>
    <col customWidth="1" min="12" max="12" width="26.75"/>
    <col customWidth="1" min="13" max="13" width="20.5"/>
  </cols>
  <sheetData>
    <row r="1" ht="26.25" customHeight="1"/>
    <row r="2" ht="20.25" customHeight="1">
      <c r="B2" s="3" t="s">
        <v>184</v>
      </c>
      <c r="C2" s="4"/>
      <c r="D2" s="4"/>
      <c r="E2" s="4"/>
      <c r="F2" s="5"/>
      <c r="G2" s="3" t="s">
        <v>2</v>
      </c>
      <c r="H2" s="4"/>
      <c r="I2" s="4"/>
      <c r="J2" s="4"/>
      <c r="K2" s="5"/>
      <c r="L2" s="3" t="s">
        <v>3</v>
      </c>
      <c r="M2" s="6" t="s">
        <v>4</v>
      </c>
    </row>
    <row r="3">
      <c r="B3" s="7" t="s">
        <v>6</v>
      </c>
      <c r="C3" s="8">
        <f t="shared" ref="C3:D3" si="1">SUM(C5:C1003)</f>
        <v>4042.29</v>
      </c>
      <c r="D3" s="8">
        <f t="shared" si="1"/>
        <v>4617.21</v>
      </c>
      <c r="E3" s="9"/>
      <c r="F3" s="5"/>
      <c r="G3" s="7" t="s">
        <v>6</v>
      </c>
      <c r="H3" s="8">
        <f t="shared" ref="H3:I3" si="2">SUM(H5:H1003)</f>
        <v>344.56</v>
      </c>
      <c r="I3" s="8">
        <f t="shared" si="2"/>
        <v>1010.56</v>
      </c>
      <c r="J3" s="9"/>
      <c r="K3" s="5"/>
      <c r="L3" s="11" t="s">
        <v>7</v>
      </c>
      <c r="M3" s="12"/>
    </row>
    <row r="4" ht="19.5" customHeight="1">
      <c r="B4" s="13"/>
      <c r="C4" s="11" t="s">
        <v>8</v>
      </c>
      <c r="D4" s="11" t="s">
        <v>9</v>
      </c>
      <c r="E4" s="11" t="s">
        <v>10</v>
      </c>
      <c r="F4" s="14"/>
      <c r="G4" s="13"/>
      <c r="H4" s="11" t="s">
        <v>8</v>
      </c>
      <c r="I4" s="11" t="s">
        <v>9</v>
      </c>
      <c r="J4" s="11" t="s">
        <v>10</v>
      </c>
      <c r="K4" s="5"/>
      <c r="L4" s="11" t="s">
        <v>11</v>
      </c>
      <c r="M4" s="15"/>
    </row>
    <row r="5">
      <c r="B5" s="16" t="s">
        <v>12</v>
      </c>
      <c r="C5" s="17">
        <v>710.0</v>
      </c>
      <c r="D5" s="17">
        <v>710.0</v>
      </c>
      <c r="E5" s="5"/>
      <c r="F5" s="18"/>
      <c r="G5" s="16" t="s">
        <v>185</v>
      </c>
      <c r="H5" s="17">
        <v>344.56</v>
      </c>
      <c r="I5" s="17">
        <v>344.56</v>
      </c>
      <c r="J5" s="5"/>
      <c r="K5" s="5"/>
      <c r="L5" s="5"/>
      <c r="M5" s="5"/>
    </row>
    <row r="6">
      <c r="B6" s="16" t="s">
        <v>16</v>
      </c>
      <c r="C6" s="17">
        <v>70.0</v>
      </c>
      <c r="D6" s="17">
        <v>83.0</v>
      </c>
      <c r="E6" s="5"/>
      <c r="F6" s="14"/>
      <c r="G6" s="16" t="s">
        <v>186</v>
      </c>
      <c r="H6" s="17"/>
      <c r="I6" s="19">
        <v>30.0</v>
      </c>
      <c r="J6" s="5"/>
      <c r="K6" s="5"/>
      <c r="L6" s="5"/>
      <c r="M6" s="5"/>
    </row>
    <row r="7">
      <c r="B7" s="16" t="s">
        <v>20</v>
      </c>
      <c r="C7" s="17">
        <v>56.0</v>
      </c>
      <c r="D7" s="17">
        <v>56.0</v>
      </c>
      <c r="E7" s="5"/>
      <c r="F7" s="14"/>
      <c r="G7" s="16" t="s">
        <v>187</v>
      </c>
      <c r="H7" s="17"/>
      <c r="I7" s="19">
        <v>154.0</v>
      </c>
      <c r="J7" s="5"/>
      <c r="K7" s="5"/>
      <c r="L7" s="5"/>
      <c r="M7" s="5"/>
    </row>
    <row r="8">
      <c r="B8" s="16" t="s">
        <v>23</v>
      </c>
      <c r="C8" s="17">
        <v>200.0</v>
      </c>
      <c r="D8" s="15">
        <v>65.0</v>
      </c>
      <c r="E8" s="5"/>
      <c r="F8" s="14"/>
      <c r="G8" s="16" t="s">
        <v>188</v>
      </c>
      <c r="H8" s="17"/>
      <c r="I8" s="17">
        <v>30.0</v>
      </c>
      <c r="J8" s="5"/>
      <c r="K8" s="5"/>
      <c r="L8" s="5"/>
      <c r="M8" s="5"/>
    </row>
    <row r="9">
      <c r="B9" s="16" t="s">
        <v>32</v>
      </c>
      <c r="C9" s="17">
        <v>120.0</v>
      </c>
      <c r="D9" s="15"/>
      <c r="E9" s="5"/>
      <c r="F9" s="14"/>
      <c r="G9" s="16" t="s">
        <v>191</v>
      </c>
      <c r="H9" s="14"/>
      <c r="I9" s="20"/>
      <c r="J9" s="5"/>
      <c r="K9" s="5"/>
      <c r="L9" s="5"/>
      <c r="M9" s="5"/>
    </row>
    <row r="10">
      <c r="B10" s="16" t="s">
        <v>29</v>
      </c>
      <c r="C10" s="17">
        <v>6.81</v>
      </c>
      <c r="D10" s="17">
        <v>7.0</v>
      </c>
      <c r="E10" s="5"/>
      <c r="F10" s="14"/>
      <c r="G10" s="11" t="s">
        <v>193</v>
      </c>
      <c r="H10" s="14"/>
      <c r="I10" s="20">
        <v>28.0</v>
      </c>
      <c r="J10" s="5"/>
      <c r="K10" s="5"/>
      <c r="L10" s="12" t="s">
        <v>194</v>
      </c>
      <c r="M10" s="5"/>
    </row>
    <row r="11">
      <c r="B11" s="16" t="s">
        <v>2</v>
      </c>
      <c r="C11" s="17">
        <v>250.0</v>
      </c>
      <c r="D11" s="27">
        <f>I3</f>
        <v>1010.56</v>
      </c>
      <c r="E11" s="5"/>
      <c r="F11" s="14"/>
      <c r="G11" s="11" t="s">
        <v>196</v>
      </c>
      <c r="H11" s="14"/>
      <c r="I11" s="19">
        <v>86.0</v>
      </c>
      <c r="J11" s="5"/>
      <c r="K11" s="5"/>
      <c r="L11" s="5"/>
      <c r="M11" s="5"/>
    </row>
    <row r="12">
      <c r="B12" s="16" t="s">
        <v>39</v>
      </c>
      <c r="C12" s="17">
        <v>40.0</v>
      </c>
      <c r="D12" s="15"/>
      <c r="E12" s="5"/>
      <c r="F12" s="14"/>
      <c r="G12" s="16" t="s">
        <v>27</v>
      </c>
      <c r="H12" s="14"/>
      <c r="I12" s="20">
        <v>20.0</v>
      </c>
      <c r="J12" s="5"/>
      <c r="K12" s="5"/>
      <c r="L12" s="5"/>
      <c r="M12" s="5"/>
    </row>
    <row r="13">
      <c r="B13" s="16" t="s">
        <v>43</v>
      </c>
      <c r="C13" s="17">
        <v>1000.0</v>
      </c>
      <c r="D13" s="17">
        <v>996.17</v>
      </c>
      <c r="E13" s="5"/>
      <c r="F13" s="14"/>
      <c r="G13" s="16" t="s">
        <v>198</v>
      </c>
      <c r="H13" s="14"/>
      <c r="I13" s="20">
        <v>95.0</v>
      </c>
      <c r="J13" s="5"/>
      <c r="K13" s="5"/>
      <c r="L13" s="5"/>
      <c r="M13" s="5"/>
    </row>
    <row r="14">
      <c r="B14" s="16" t="s">
        <v>48</v>
      </c>
      <c r="C14" s="17">
        <v>1000.0</v>
      </c>
      <c r="D14" s="15">
        <v>800.0</v>
      </c>
      <c r="E14" s="5"/>
      <c r="F14" s="14"/>
      <c r="G14" s="16" t="s">
        <v>199</v>
      </c>
      <c r="H14" s="14"/>
      <c r="I14" s="19">
        <v>14.0</v>
      </c>
      <c r="J14" s="5"/>
      <c r="K14" s="5"/>
      <c r="L14" s="5"/>
      <c r="M14" s="5"/>
    </row>
    <row r="15">
      <c r="B15" s="16" t="s">
        <v>53</v>
      </c>
      <c r="C15" s="17">
        <v>34.48</v>
      </c>
      <c r="D15" s="17">
        <v>34.48</v>
      </c>
      <c r="E15" s="5"/>
      <c r="F15" s="14"/>
      <c r="G15" s="16" t="s">
        <v>200</v>
      </c>
      <c r="H15" s="14"/>
      <c r="I15" s="20">
        <v>120.0</v>
      </c>
      <c r="J15" s="5"/>
      <c r="K15" s="5"/>
      <c r="L15" s="5"/>
      <c r="M15" s="5"/>
    </row>
    <row r="16">
      <c r="B16" s="16" t="s">
        <v>57</v>
      </c>
      <c r="C16" s="15">
        <v>300.0</v>
      </c>
      <c r="D16" s="12">
        <v>600.0</v>
      </c>
      <c r="E16" s="5"/>
      <c r="F16" s="14"/>
      <c r="G16" s="16" t="s">
        <v>201</v>
      </c>
      <c r="H16" s="14"/>
      <c r="I16" s="20">
        <v>34.0</v>
      </c>
      <c r="J16" s="5"/>
      <c r="K16" s="5"/>
      <c r="L16" s="5"/>
      <c r="M16" s="5"/>
    </row>
    <row r="17">
      <c r="B17" s="11" t="s">
        <v>45</v>
      </c>
      <c r="C17" s="12">
        <v>120.0</v>
      </c>
      <c r="D17" s="12">
        <v>120.0</v>
      </c>
      <c r="E17" s="5"/>
      <c r="F17" s="14"/>
      <c r="G17" s="16" t="s">
        <v>202</v>
      </c>
      <c r="H17" s="14"/>
      <c r="I17" s="20">
        <v>10.0</v>
      </c>
      <c r="J17" s="5"/>
      <c r="K17" s="5"/>
      <c r="L17" s="5"/>
      <c r="M17" s="5"/>
    </row>
    <row r="18">
      <c r="B18" s="11" t="s">
        <v>51</v>
      </c>
      <c r="C18" s="12">
        <v>35.0</v>
      </c>
      <c r="D18" s="12">
        <v>35.0</v>
      </c>
      <c r="E18" s="5"/>
      <c r="F18" s="18"/>
      <c r="G18" s="11" t="s">
        <v>204</v>
      </c>
      <c r="H18" s="5"/>
      <c r="I18" s="20">
        <v>22.0</v>
      </c>
      <c r="J18" s="5"/>
      <c r="K18" s="5"/>
      <c r="L18" s="5"/>
      <c r="M18" s="5"/>
    </row>
    <row r="19">
      <c r="B19" s="11" t="s">
        <v>205</v>
      </c>
      <c r="C19" s="12">
        <v>100.0</v>
      </c>
      <c r="D19" s="12">
        <v>100.0</v>
      </c>
      <c r="E19" s="5"/>
      <c r="F19" s="5"/>
      <c r="G19" s="11" t="s">
        <v>206</v>
      </c>
      <c r="H19" s="5"/>
      <c r="I19" s="20">
        <v>16.0</v>
      </c>
      <c r="J19" s="5"/>
      <c r="K19" s="5"/>
      <c r="L19" s="5"/>
      <c r="M19" s="5"/>
    </row>
    <row r="20">
      <c r="B20" s="5"/>
      <c r="C20" s="5"/>
      <c r="D20" s="5"/>
      <c r="E20" s="5"/>
      <c r="F20" s="5"/>
      <c r="G20" s="11" t="s">
        <v>208</v>
      </c>
      <c r="H20" s="5"/>
      <c r="I20" s="20">
        <v>7.0</v>
      </c>
      <c r="J20" s="5"/>
      <c r="K20" s="5"/>
      <c r="L20" s="5"/>
      <c r="M20" s="5"/>
    </row>
    <row r="2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>
      <c r="B27" s="5"/>
      <c r="C27" s="14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7" max="7" width="27.25"/>
    <col customWidth="1" min="8" max="8" width="19.75"/>
    <col customWidth="1" min="12" max="12" width="26.75"/>
    <col customWidth="1" min="13" max="13" width="20.5"/>
  </cols>
  <sheetData>
    <row r="1" ht="26.25" customHeight="1"/>
    <row r="2" ht="20.25" customHeight="1">
      <c r="B2" s="43" t="s">
        <v>184</v>
      </c>
      <c r="C2" s="45"/>
      <c r="D2" s="45"/>
      <c r="E2" s="45"/>
      <c r="G2" s="43" t="s">
        <v>2</v>
      </c>
      <c r="H2" s="45"/>
      <c r="I2" s="45"/>
      <c r="J2" s="45"/>
      <c r="L2" s="43" t="s">
        <v>3</v>
      </c>
      <c r="M2" s="40" t="s">
        <v>4</v>
      </c>
    </row>
    <row r="3">
      <c r="B3" s="47" t="s">
        <v>6</v>
      </c>
      <c r="C3" s="49">
        <f t="shared" ref="C3:D3" si="1">SUM(C5:C1003)</f>
        <v>3942.29</v>
      </c>
      <c r="D3" s="49">
        <f t="shared" si="1"/>
        <v>4194.2</v>
      </c>
      <c r="E3" s="50"/>
      <c r="G3" s="47" t="s">
        <v>6</v>
      </c>
      <c r="H3" s="49">
        <f t="shared" ref="H3:I3" si="2">SUM(H5:H1003)</f>
        <v>716.74</v>
      </c>
      <c r="I3" s="49">
        <f t="shared" si="2"/>
        <v>950.74</v>
      </c>
      <c r="J3" s="50"/>
      <c r="L3" s="37" t="s">
        <v>7</v>
      </c>
      <c r="M3" s="52"/>
    </row>
    <row r="4" ht="19.5" customHeight="1">
      <c r="B4" s="54"/>
      <c r="C4" s="37" t="s">
        <v>8</v>
      </c>
      <c r="D4" s="37" t="s">
        <v>9</v>
      </c>
      <c r="E4" s="37" t="s">
        <v>10</v>
      </c>
      <c r="F4" s="44"/>
      <c r="G4" s="54"/>
      <c r="H4" s="37" t="s">
        <v>8</v>
      </c>
      <c r="I4" s="37" t="s">
        <v>9</v>
      </c>
      <c r="J4" s="37" t="s">
        <v>10</v>
      </c>
      <c r="L4" s="37" t="s">
        <v>11</v>
      </c>
      <c r="M4" s="55"/>
    </row>
    <row r="5">
      <c r="B5" s="46" t="s">
        <v>12</v>
      </c>
      <c r="C5" s="56">
        <v>710.0</v>
      </c>
      <c r="D5" s="56">
        <v>710.0</v>
      </c>
      <c r="F5" s="48"/>
      <c r="G5" s="46" t="s">
        <v>185</v>
      </c>
      <c r="H5" s="56">
        <v>416.74</v>
      </c>
      <c r="I5" s="56">
        <v>416.74</v>
      </c>
    </row>
    <row r="6">
      <c r="B6" s="46" t="s">
        <v>16</v>
      </c>
      <c r="C6" s="56">
        <v>70.0</v>
      </c>
      <c r="D6" s="56"/>
      <c r="F6" s="44"/>
      <c r="G6" s="46" t="s">
        <v>244</v>
      </c>
      <c r="H6" s="56">
        <v>300.0</v>
      </c>
      <c r="I6" s="56">
        <v>300.0</v>
      </c>
    </row>
    <row r="7">
      <c r="B7" s="46" t="s">
        <v>20</v>
      </c>
      <c r="C7" s="56">
        <v>56.0</v>
      </c>
      <c r="D7" s="56">
        <v>56.0</v>
      </c>
      <c r="F7" s="44"/>
      <c r="G7" s="46" t="s">
        <v>246</v>
      </c>
      <c r="H7" s="56"/>
      <c r="I7" s="56">
        <v>41.0</v>
      </c>
    </row>
    <row r="8">
      <c r="B8" s="46" t="s">
        <v>23</v>
      </c>
      <c r="C8" s="56">
        <v>200.0</v>
      </c>
      <c r="D8" s="55">
        <v>50.0</v>
      </c>
      <c r="F8" s="44"/>
      <c r="G8" s="46" t="s">
        <v>247</v>
      </c>
      <c r="H8" s="56"/>
      <c r="I8" s="56">
        <v>20.0</v>
      </c>
    </row>
    <row r="9">
      <c r="B9" s="46" t="s">
        <v>32</v>
      </c>
      <c r="C9" s="56">
        <v>120.0</v>
      </c>
      <c r="D9" s="55">
        <v>50.0</v>
      </c>
      <c r="F9" s="44"/>
      <c r="G9" s="37" t="s">
        <v>248</v>
      </c>
      <c r="H9" s="44"/>
      <c r="I9" s="33">
        <v>78.0</v>
      </c>
    </row>
    <row r="10">
      <c r="B10" s="46" t="s">
        <v>29</v>
      </c>
      <c r="C10" s="56">
        <v>6.81</v>
      </c>
      <c r="D10" s="56">
        <v>6.81</v>
      </c>
      <c r="F10" s="44"/>
      <c r="G10" s="37" t="s">
        <v>249</v>
      </c>
      <c r="H10" s="44"/>
      <c r="I10" s="33">
        <v>55.0</v>
      </c>
    </row>
    <row r="11">
      <c r="B11" s="46" t="s">
        <v>2</v>
      </c>
      <c r="C11" s="56">
        <v>250.0</v>
      </c>
      <c r="D11" s="28">
        <f>I3</f>
        <v>950.74</v>
      </c>
      <c r="F11" s="44"/>
      <c r="G11" s="37" t="s">
        <v>251</v>
      </c>
      <c r="H11" s="44"/>
      <c r="I11" s="57">
        <v>40.0</v>
      </c>
    </row>
    <row r="12">
      <c r="B12" s="46" t="s">
        <v>39</v>
      </c>
      <c r="C12" s="56">
        <v>40.0</v>
      </c>
      <c r="D12" s="55">
        <v>40.0</v>
      </c>
      <c r="F12" s="44"/>
      <c r="G12" s="53"/>
      <c r="H12" s="44"/>
    </row>
    <row r="13">
      <c r="B13" s="46" t="s">
        <v>43</v>
      </c>
      <c r="C13" s="56">
        <v>1000.0</v>
      </c>
      <c r="D13" s="56">
        <v>996.17</v>
      </c>
      <c r="F13" s="44"/>
      <c r="G13" s="53"/>
      <c r="H13" s="44"/>
    </row>
    <row r="14">
      <c r="B14" s="46" t="s">
        <v>48</v>
      </c>
      <c r="C14" s="56">
        <v>1000.0</v>
      </c>
      <c r="D14" s="55">
        <v>1000.0</v>
      </c>
      <c r="F14" s="44"/>
      <c r="G14" s="53"/>
      <c r="H14" s="44"/>
      <c r="I14" s="44"/>
    </row>
    <row r="15">
      <c r="B15" s="46" t="s">
        <v>53</v>
      </c>
      <c r="C15" s="56">
        <v>34.48</v>
      </c>
      <c r="D15" s="55">
        <v>34.48</v>
      </c>
      <c r="F15" s="44"/>
      <c r="G15" s="53"/>
      <c r="H15" s="44"/>
    </row>
    <row r="16">
      <c r="B16" s="16" t="s">
        <v>57</v>
      </c>
      <c r="C16" s="15">
        <v>300.0</v>
      </c>
      <c r="D16" s="12">
        <v>300.0</v>
      </c>
      <c r="F16" s="44"/>
      <c r="G16" s="53"/>
      <c r="H16" s="44"/>
    </row>
    <row r="17">
      <c r="B17" s="11" t="s">
        <v>45</v>
      </c>
      <c r="C17" s="12">
        <v>120.0</v>
      </c>
      <c r="D17" s="5"/>
      <c r="F17" s="44"/>
      <c r="G17" s="53"/>
      <c r="H17" s="44"/>
    </row>
    <row r="18">
      <c r="B18" s="11" t="s">
        <v>51</v>
      </c>
      <c r="C18" s="12">
        <v>35.0</v>
      </c>
      <c r="D18" s="5"/>
      <c r="F18" s="48"/>
    </row>
    <row r="27">
      <c r="C27" s="4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2" t="s">
        <v>184</v>
      </c>
      <c r="C2" s="44"/>
      <c r="D2" s="44"/>
    </row>
    <row r="3">
      <c r="C3" s="37" t="s">
        <v>8</v>
      </c>
      <c r="D3" s="37" t="s">
        <v>9</v>
      </c>
      <c r="E3" s="37" t="s">
        <v>10</v>
      </c>
    </row>
    <row r="4">
      <c r="B4" s="46" t="s">
        <v>12</v>
      </c>
      <c r="C4" s="44">
        <v>680.0</v>
      </c>
      <c r="D4" s="44">
        <v>680.0</v>
      </c>
      <c r="F4" s="44"/>
    </row>
    <row r="5">
      <c r="B5" s="46" t="s">
        <v>16</v>
      </c>
      <c r="C5" s="44">
        <v>70.0</v>
      </c>
      <c r="D5" s="44">
        <v>70.0</v>
      </c>
      <c r="F5" s="48"/>
    </row>
    <row r="6">
      <c r="B6" s="46" t="s">
        <v>20</v>
      </c>
      <c r="C6" s="44">
        <v>56.0</v>
      </c>
      <c r="D6" s="44">
        <v>56.0</v>
      </c>
      <c r="F6" s="44"/>
    </row>
    <row r="7">
      <c r="B7" s="46" t="s">
        <v>23</v>
      </c>
      <c r="C7" s="44">
        <v>200.0</v>
      </c>
      <c r="F7" s="44"/>
    </row>
    <row r="8">
      <c r="B8" s="46" t="s">
        <v>32</v>
      </c>
      <c r="C8" s="44">
        <v>120.0</v>
      </c>
      <c r="F8" s="44"/>
    </row>
    <row r="9">
      <c r="B9" s="46" t="s">
        <v>29</v>
      </c>
      <c r="C9" s="44">
        <v>6.81</v>
      </c>
      <c r="D9" s="44">
        <v>6.81</v>
      </c>
      <c r="F9" s="44"/>
    </row>
    <row r="10">
      <c r="B10" s="46" t="s">
        <v>235</v>
      </c>
      <c r="C10" s="44">
        <v>50.0</v>
      </c>
      <c r="D10" s="51">
        <f>SUM(C21:C1000)</f>
        <v>2406</v>
      </c>
      <c r="F10" s="44"/>
      <c r="G10" s="53"/>
      <c r="H10" s="44"/>
    </row>
    <row r="11">
      <c r="B11" s="46" t="s">
        <v>39</v>
      </c>
      <c r="C11" s="44">
        <v>40.0</v>
      </c>
      <c r="F11" s="44"/>
      <c r="H11" s="44"/>
    </row>
    <row r="12">
      <c r="B12" s="46" t="s">
        <v>43</v>
      </c>
      <c r="C12" s="44">
        <v>1000.0</v>
      </c>
      <c r="D12" s="44">
        <v>996.0</v>
      </c>
      <c r="F12" s="44"/>
      <c r="G12" s="53"/>
      <c r="H12" s="44"/>
    </row>
    <row r="13">
      <c r="B13" s="46" t="s">
        <v>242</v>
      </c>
      <c r="C13" s="44">
        <v>250.0</v>
      </c>
      <c r="D13" s="52">
        <v>68.6</v>
      </c>
      <c r="F13" s="44"/>
      <c r="G13" s="53"/>
      <c r="H13" s="44"/>
    </row>
    <row r="14">
      <c r="B14" s="46" t="s">
        <v>48</v>
      </c>
      <c r="C14" s="44">
        <v>1000.0</v>
      </c>
      <c r="D14" s="52">
        <v>1300.0</v>
      </c>
      <c r="F14" s="44"/>
      <c r="G14" s="53"/>
      <c r="H14" s="44"/>
    </row>
    <row r="15">
      <c r="B15" s="46" t="s">
        <v>53</v>
      </c>
      <c r="C15" s="44">
        <v>32.0</v>
      </c>
      <c r="D15" s="52">
        <v>32.0</v>
      </c>
      <c r="F15" s="44"/>
      <c r="G15" s="53"/>
      <c r="H15" s="44"/>
    </row>
    <row r="16">
      <c r="B16" s="52" t="s">
        <v>6</v>
      </c>
      <c r="C16" s="51">
        <f>SUM(C4:C15)</f>
        <v>3504.81</v>
      </c>
      <c r="D16" s="51">
        <f>SUM(D2:D15)</f>
        <v>5615.41</v>
      </c>
      <c r="F16" s="44"/>
      <c r="G16" s="53"/>
      <c r="H16" s="44"/>
    </row>
    <row r="17">
      <c r="F17" s="44"/>
      <c r="G17" s="53"/>
      <c r="H17" s="44"/>
    </row>
    <row r="18">
      <c r="F18" s="48"/>
    </row>
    <row r="19">
      <c r="B19" s="42" t="s">
        <v>235</v>
      </c>
      <c r="D19" s="44"/>
      <c r="G19" s="42" t="s">
        <v>250</v>
      </c>
      <c r="H19" s="52" t="s">
        <v>4</v>
      </c>
    </row>
    <row r="20">
      <c r="C20" s="37" t="s">
        <v>8</v>
      </c>
      <c r="D20" s="37" t="s">
        <v>9</v>
      </c>
      <c r="E20" s="37" t="s">
        <v>10</v>
      </c>
      <c r="G20" s="37" t="s">
        <v>7</v>
      </c>
      <c r="H20" s="52"/>
    </row>
    <row r="21">
      <c r="B21" s="46" t="s">
        <v>12</v>
      </c>
      <c r="C21" s="44">
        <v>680.0</v>
      </c>
      <c r="D21" s="44">
        <v>680.0</v>
      </c>
      <c r="G21" s="37" t="s">
        <v>11</v>
      </c>
      <c r="H21" s="52"/>
    </row>
    <row r="22">
      <c r="B22" s="46" t="s">
        <v>16</v>
      </c>
      <c r="C22" s="44">
        <v>70.0</v>
      </c>
      <c r="D22" s="44">
        <v>70.0</v>
      </c>
    </row>
    <row r="23">
      <c r="B23" s="46" t="s">
        <v>20</v>
      </c>
      <c r="C23" s="44">
        <v>56.0</v>
      </c>
      <c r="D23" s="44">
        <v>56.0</v>
      </c>
    </row>
    <row r="24">
      <c r="B24" s="52" t="s">
        <v>252</v>
      </c>
      <c r="C24" s="44">
        <v>1200.0</v>
      </c>
    </row>
    <row r="25">
      <c r="B25" s="52" t="s">
        <v>253</v>
      </c>
      <c r="C25" s="44">
        <v>400.0</v>
      </c>
    </row>
    <row r="26">
      <c r="B26" s="52" t="s">
        <v>6</v>
      </c>
      <c r="C26" s="44"/>
    </row>
    <row r="27">
      <c r="C27" s="44"/>
    </row>
  </sheetData>
  <mergeCells count="1">
    <mergeCell ref="B19:C19"/>
  </mergeCells>
  <drawing r:id="rId1"/>
</worksheet>
</file>